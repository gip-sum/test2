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ROADMAP" sheetId="2" state="visible" r:id="rId4"/>
    <sheet name="PHASES" sheetId="3" state="visible" r:id="rId5"/>
    <sheet name="MVP CHECKLIST" sheetId="4" state="visible" r:id="rId6"/>
    <sheet name="FEATURE CHECKLIST" sheetId="5" state="visible" r:id="rId7"/>
    <sheet name="WEBSITE PAGES" sheetId="6" state="visible" r:id="rId8"/>
    <sheet name="USER FLOWS" sheetId="7" state="visible" r:id="rId9"/>
    <sheet name="DATABASE" sheetId="8" state="visible" r:id="rId10"/>
    <sheet name="API CHECKLIST" sheetId="9" state="visible" r:id="rId11"/>
    <sheet name="UI-UX CHECKLIST" sheetId="10" state="visible" r:id="rId12"/>
    <sheet name="SEO CHECKLIST" sheetId="11" state="visible" r:id="rId13"/>
    <sheet name="SECURITY CHECKLIST" sheetId="12" state="visible" r:id="rId14"/>
    <sheet name="TESTING &amp; QA" sheetId="13" state="visible" r:id="rId15"/>
    <sheet name="PERFORMANCE" sheetId="14" state="visible" r:id="rId16"/>
    <sheet name="DEVOPS &amp; DEPLOYMENT" sheetId="15" state="visible" r:id="rId17"/>
    <sheet name="THIRD-PARTY SERVICES" sheetId="16" state="visible" r:id="rId18"/>
    <sheet name="MONETIZATION ROADMAP" sheetId="17" state="visible" r:id="rId19"/>
    <sheet name="LAUNCH CHECKLIST" sheetId="18" state="visible" r:id="rId20"/>
    <sheet name="POST-LAUNCH ROADMAP" sheetId="19" state="visible" r:id="rId21"/>
    <sheet name="DECISIONS LOG" sheetId="20" state="visible" r:id="rId22"/>
    <sheet name="GLOSSARY" sheetId="21" state="visible" r:id="rId23"/>
  </sheets>
  <definedNames>
    <definedName function="false" hidden="true" localSheetId="8" name="_xlnm._FilterDatabase" vbProcedure="false">'API CHECKLIST'!$A$4:$L$54</definedName>
    <definedName function="false" hidden="true" localSheetId="7" name="_xlnm._FilterDatabase" vbProcedure="false">DATABASE!$A$4:$I$36</definedName>
    <definedName function="false" hidden="true" localSheetId="19" name="_xlnm._FilterDatabase" vbProcedure="false">'DECISIONS LOG'!$A$4:$I$29</definedName>
    <definedName function="false" hidden="true" localSheetId="14" name="_xlnm._FilterDatabase" vbProcedure="false">'DEVOPS &amp; DEPLOYMENT'!$A$4:$G$54</definedName>
    <definedName function="false" hidden="true" localSheetId="4" name="_xlnm._FilterDatabase" vbProcedure="false">'FEATURE CHECKLIST'!$A$4:$L$73</definedName>
    <definedName function="false" hidden="true" localSheetId="20" name="_xlnm._FilterDatabase" vbProcedure="false">GLOSSARY!$A$4:$D$57</definedName>
    <definedName function="false" hidden="true" localSheetId="17" name="_xlnm._FilterDatabase" vbProcedure="false">'LAUNCH CHECKLIST'!$A$4:$F$80</definedName>
    <definedName function="false" hidden="true" localSheetId="1" name="_xlnm._FilterDatabase" vbProcedure="false">'MASTER ROADMAP'!$A$9:$P$222</definedName>
    <definedName function="false" hidden="true" localSheetId="16" name="_xlnm._FilterDatabase" vbProcedure="false">'MONETIZATION ROADMAP'!$A$4:$I$25</definedName>
    <definedName function="false" hidden="true" localSheetId="3" name="_xlnm._FilterDatabase" vbProcedure="false">'MVP CHECKLIST'!$A$4:$I$63</definedName>
    <definedName function="false" hidden="true" localSheetId="13" name="_xlnm._FilterDatabase" vbProcedure="false">PERFORMANCE!$A$4:$G$16</definedName>
    <definedName function="false" hidden="true" localSheetId="2" name="_xlnm._FilterDatabase" vbProcedure="false">PHASES!$A$4:$H$28</definedName>
    <definedName function="false" hidden="true" localSheetId="18" name="_xlnm._FilterDatabase" vbProcedure="false">'POST-LAUNCH ROADMAP'!$A$4:$H$54</definedName>
    <definedName function="false" hidden="true" localSheetId="11" name="_xlnm._FilterDatabase" vbProcedure="false">'SECURITY CHECKLIST'!$A$4:$G$64</definedName>
    <definedName function="false" hidden="true" localSheetId="10" name="_xlnm._FilterDatabase" vbProcedure="false">'SEO CHECKLIST'!$A$4:$G$51</definedName>
    <definedName function="false" hidden="true" localSheetId="12" name="_xlnm._FilterDatabase" vbProcedure="false">'TESTING &amp; QA'!$A$4:$G$64</definedName>
    <definedName function="false" hidden="true" localSheetId="15" name="_xlnm._FilterDatabase" vbProcedure="false">'THIRD-PARTY SERVICES'!$A$4:$I$24</definedName>
    <definedName function="false" hidden="true" localSheetId="9" name="_xlnm._FilterDatabase" vbProcedure="false">'UI-UX CHECKLIST'!$A$4:$G$72</definedName>
    <definedName function="false" hidden="true" localSheetId="6" name="_xlnm._FilterDatabase" vbProcedure="false">'USER FLOWS'!$A$4:$I$74</definedName>
    <definedName function="false" hidden="true" localSheetId="5" name="_xlnm._FilterDatabase" vbProcedure="false">'WEBSITE PAGES'!$A$4:$K$45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<sst xmlns="http://schemas.openxmlformats.org/spreadsheetml/2006/main" count="10458" uniqueCount="5058">
  <si>
    <t xml:space="preserve">PROPERTY MARKETPLACE — MASTER PROJECT ROADMAP &amp; CHECKLIST</t>
  </si>
  <si>
    <t xml:space="preserve">Your single source of truth for building the marketplace, from research to launch to mobile app.</t>
  </si>
  <si>
    <t xml:space="preserve">HOW TO USE THIS WORKBOOK EVERY DAY</t>
  </si>
  <si>
    <t xml:space="preserve">1. Open MASTER ROADMAP.</t>
  </si>
  <si>
    <t xml:space="preserve">Look at the dashboard at the top: it tells you instantly how many tasks are done, in progress, blocked and remaining. These numbers update themselves.</t>
  </si>
  <si>
    <t xml:space="preserve">2. Filter by Phase.</t>
  </si>
  <si>
    <t xml:space="preserve">Click the filter arrow on the 'Phase No.' column and pick the phase you are working on. Do phases roughly in order — later phases depend on earlier ones.</t>
  </si>
  <si>
    <t xml:space="preserve">3. Find your next task.</t>
  </si>
  <si>
    <t xml:space="preserve">Filter Status = NOT STARTED and Priority = CRITICAL. Check the 'Dependency' column: if the dependency is not DONE, do that first.</t>
  </si>
  <si>
    <t xml:space="preserve">4. Update Status as you go.</t>
  </si>
  <si>
    <t xml:space="preserve">Click any Status cell and pick from the dropdown: NOT STARTED, IN PROGRESS, BLOCKED, REVIEW, DONE, DEFERRED. The dashboard and the PHASES sheet recalculate automatically.</t>
  </si>
  <si>
    <t xml:space="preserve">5. Check DECISIONS LOG weekly.</t>
  </si>
  <si>
    <t xml:space="preserve">Anything marked DECISION REQUIRED is waiting for you. The project cannot finish until these are answered. Write your answer in 'Final Decision' and set the date.</t>
  </si>
  <si>
    <t xml:space="preserve">WHAT THE COLOUR TAGS MEAN</t>
  </si>
  <si>
    <t xml:space="preserve">OBSERVED FROM RESEARCH</t>
  </si>
  <si>
    <t xml:space="preserve">This comes from the attached research document — it was actually observed on a live competitor marketplace. Treat it as evidence.</t>
  </si>
  <si>
    <t xml:space="preserve">PROPOSED</t>
  </si>
  <si>
    <t xml:space="preserve">This is a recommendation, not an observation. It is a sensible default but you may change it.</t>
  </si>
  <si>
    <t xml:space="preserve">DECISION REQUIRED</t>
  </si>
  <si>
    <t xml:space="preserve">Nobody has decided this yet. It needs YOUR answer. See the DECISIONS LOG sheet.</t>
  </si>
  <si>
    <t xml:space="preserve">USER REQUIREMENT</t>
  </si>
  <si>
    <t xml:space="preserve">This came from your own instructions rather than from the research.</t>
  </si>
  <si>
    <t xml:space="preserve">THE SEVEN QUESTIONS THIS WORKBOOK ANSWERS</t>
  </si>
  <si>
    <t xml:space="preserve">1. What is already done?</t>
  </si>
  <si>
    <t xml:space="preserve">MASTER ROADMAP dashboard + filter Status = DONE.</t>
  </si>
  <si>
    <t xml:space="preserve">2. What should I work on next?</t>
  </si>
  <si>
    <t xml:space="preserve">MASTER ROADMAP: filter Status = NOT STARTED, sort by Phase No., check Dependency.</t>
  </si>
  <si>
    <t xml:space="preserve">3. What is blocked?</t>
  </si>
  <si>
    <t xml:space="preserve">MASTER ROADMAP: filter Status = BLOCKED.</t>
  </si>
  <si>
    <t xml:space="preserve">4. What depends on what?</t>
  </si>
  <si>
    <t xml:space="preserve">MASTER ROADMAP 'Dependency' column, and the PHASES sheet 'Dependencies' column.</t>
  </si>
  <si>
    <t xml:space="preserve">5. What belongs to the MVP?</t>
  </si>
  <si>
    <t xml:space="preserve">MVP CHECKLIST sheet: filter MVP? = MVP.</t>
  </si>
  <si>
    <t xml:space="preserve">6. What can wait?</t>
  </si>
  <si>
    <t xml:space="preserve">MVP CHECKLIST: filter MVP? = FUTURE. Then see POST-LAUNCH ROADMAP for when.</t>
  </si>
  <si>
    <t xml:space="preserve">7. What decisions are outstanding?</t>
  </si>
  <si>
    <t xml:space="preserve">DECISIONS LOG: filter Decision Status = OPEN — DECISION REQUIRED.</t>
  </si>
  <si>
    <t xml:space="preserve">THE SHEETS, IN THE ORDER YOU WILL NEED THEM</t>
  </si>
  <si>
    <t xml:space="preserve">MASTER ROADMAP</t>
  </si>
  <si>
    <t xml:space="preserve">All 213 tasks with dependencies, effort, deliverables and acceptance criteria. Your daily working sheet.</t>
  </si>
  <si>
    <t xml:space="preserve">PHASES</t>
  </si>
  <si>
    <t xml:space="preserve">The 24 phases at a glance, with progress bars that calculate themselves from MASTER ROADMAP.</t>
  </si>
  <si>
    <t xml:space="preserve">MVP CHECKLIST</t>
  </si>
  <si>
    <t xml:space="preserve">What must be built for launch, and what must NOT be built yet. Your defence against scope creep.</t>
  </si>
  <si>
    <t xml:space="preserve">FEATURE CHECKLIST</t>
  </si>
  <si>
    <t xml:space="preserve">Every feature broken down by who uses it and what it needs (frontend, backend, database, API).</t>
  </si>
  <si>
    <t xml:space="preserve">WEBSITE PAGES</t>
  </si>
  <si>
    <t xml:space="preserve">Every page to design and build, with its URL and whether it needs SEO.</t>
  </si>
  <si>
    <t xml:space="preserve">USER FLOWS</t>
  </si>
  <si>
    <t xml:space="preserve">Step-by-step journeys for buyers, sellers and admins, including what can go wrong at each step.</t>
  </si>
  <si>
    <t xml:space="preserve">DATABASE</t>
  </si>
  <si>
    <t xml:space="preserve">The proposed tables, what each is for, and which are MVP versus later.</t>
  </si>
  <si>
    <t xml:space="preserve">API CHECKLIST</t>
  </si>
  <si>
    <t xml:space="preserve">Every planned API endpoint. Do not build these yet — this is the plan.</t>
  </si>
  <si>
    <t xml:space="preserve">UI/UX CHECKLIST</t>
  </si>
  <si>
    <t xml:space="preserve">The design system and interface work, from tokens to accessibility.</t>
  </si>
  <si>
    <t xml:space="preserve">SEO CHECKLIST</t>
  </si>
  <si>
    <t xml:space="preserve">URL structure, metadata, sitemaps and indexation. Read this BEFORE building any page.</t>
  </si>
  <si>
    <t xml:space="preserve">SECURITY CHECKLIST</t>
  </si>
  <si>
    <t xml:space="preserve">Controls that protect users, data and the business model.</t>
  </si>
  <si>
    <t xml:space="preserve">TESTING &amp; QA</t>
  </si>
  <si>
    <t xml:space="preserve">What to test and what 'passing' means for each item.</t>
  </si>
  <si>
    <t xml:space="preserve">PERFORMANCE</t>
  </si>
  <si>
    <t xml:space="preserve">Hard speed targets, in plain English, with how to measure each one.</t>
  </si>
  <si>
    <t xml:space="preserve">DEVOPS &amp; DEPLOYMENT</t>
  </si>
  <si>
    <t xml:space="preserve">Environments, deployment, backups, monitoring and disaster recovery.</t>
  </si>
  <si>
    <t xml:space="preserve">THIRD-PARTY SERVICES</t>
  </si>
  <si>
    <t xml:space="preserve">External services you will need, when, and what they cost.</t>
  </si>
  <si>
    <t xml:space="preserve">MONETIZATION ROADMAP</t>
  </si>
  <si>
    <t xml:space="preserve">How the product makes money, and why none of it happens at launch.</t>
  </si>
  <si>
    <t xml:space="preserve">LAUNCH CHECKLIST</t>
  </si>
  <si>
    <t xml:space="preserve">The final gate. Every item must be DONE or consciously DEFERRED before going live.</t>
  </si>
  <si>
    <t xml:space="preserve">POST-LAUNCH ROADMAP</t>
  </si>
  <si>
    <t xml:space="preserve">What comes after launch, grouped into releases.</t>
  </si>
  <si>
    <t xml:space="preserve">DECISIONS LOG</t>
  </si>
  <si>
    <t xml:space="preserve">Every open decision. THE MOST IMPORTANT SHEET FOR YOU PERSONALLY.</t>
  </si>
  <si>
    <t xml:space="preserve">GLOSSARY</t>
  </si>
  <si>
    <t xml:space="preserve">Every technical term in plain English. Start here if a word is unfamiliar.</t>
  </si>
  <si>
    <t xml:space="preserve">IMPORTANT RULES BUILT INTO THIS PLAN</t>
  </si>
  <si>
    <t xml:space="preserve">Supply before demand.</t>
  </si>
  <si>
    <t xml:space="preserve">Sellers and listings come before buyer features. An empty marketplace cannot be tested by buyers.</t>
  </si>
  <si>
    <t xml:space="preserve">Measure before you monetise.</t>
  </si>
  <si>
    <t xml:space="preserve">The lead loop is fully instrumented in Phase 10, but nothing is charged until after launch. You cannot price what you cannot measure.</t>
  </si>
  <si>
    <t xml:space="preserve">URLs before pages.</t>
  </si>
  <si>
    <t xml:space="preserve">The URL structure is decided in Phase 2, before any page is built. Retrofitting SEO-grade URLs later is effectively a rewrite.</t>
  </si>
  <si>
    <t xml:space="preserve">Performance before launch.</t>
  </si>
  <si>
    <t xml:space="preserve">Speed budgets are enforced in the build pipeline before going live, because performance debt compounds.</t>
  </si>
  <si>
    <t xml:space="preserve">Nothing copied.</t>
  </si>
  <si>
    <t xml:space="preserve">This is an ORIGINAL product. No competitor branding, wording, imagery, styling or content is used anywhere.</t>
  </si>
  <si>
    <t xml:space="preserve">HONEST LIMITATIONS OF THIS PLAN</t>
  </si>
  <si>
    <t xml:space="preserve">Effort estimates assume competent full-time development.</t>
  </si>
  <si>
    <t xml:space="preserve">They are S (1-2 days), M (3-5 days), L (1-2 weeks), XL (2-4 weeks). If you are learning as you go, or working part-time, multiply accordingly. See DECISIONS LOG D-23.</t>
  </si>
  <si>
    <t xml:space="preserve">Some source research is marked UNKNOWN.</t>
  </si>
  <si>
    <t xml:space="preserve">The research document could not inspect the competitor's frontend code, backend or performance. Nothing here claims otherwise, and no invented technical details were used to fill gaps.</t>
  </si>
  <si>
    <t xml:space="preserve">One research conflict is flagged, not hidden.</t>
  </si>
  <si>
    <t xml:space="preserve">The research document is internally inconsistent about whether 'similar properties' belongs in the MVP. See DECISIONS LOG D-14.</t>
  </si>
  <si>
    <t xml:space="preserve">This plan does not include business costs.</t>
  </si>
  <si>
    <t xml:space="preserve">Marketing, legal fees, salaries and supply acquisition are outside this workbook's scope, but they will decide whether the project succeeds.</t>
  </si>
  <si>
    <t xml:space="preserve">MASTER ROADMAP — complete task list, phase by phase</t>
  </si>
  <si>
    <t xml:space="preserve">Filter by Phase No. to see one phase at a time. Check 'Dependency' before starting a task. Update 'Status' from the dropdown — the dashboard below and the PHASES sheet recalculate automatically.</t>
  </si>
  <si>
    <t xml:space="preserve">PROGRESS DASHBOARD  (these numbers update themselves)</t>
  </si>
  <si>
    <t xml:space="preserve">Total tasks</t>
  </si>
  <si>
    <t xml:space="preserve">DONE</t>
  </si>
  <si>
    <t xml:space="preserve">NOT STARTED</t>
  </si>
  <si>
    <t xml:space="preserve">IN PROGRESS</t>
  </si>
  <si>
    <t xml:space="preserve">BLOCKED</t>
  </si>
  <si>
    <t xml:space="preserve">REVIEW</t>
  </si>
  <si>
    <t xml:space="preserve">DEFERRED</t>
  </si>
  <si>
    <t xml:space="preserve">MVP tasks (Ph 0-20)</t>
  </si>
  <si>
    <t xml:space="preserve">Future tasks (Ph 21-23)</t>
  </si>
  <si>
    <t xml:space="preserve">CRITICAL priority</t>
  </si>
  <si>
    <t xml:space="preserve">Decisions required</t>
  </si>
  <si>
    <t xml:space="preserve">OVERALL COMPLETION</t>
  </si>
  <si>
    <t xml:space="preserve">Phase</t>
  </si>
  <si>
    <t xml:space="preserve">Phase No.</t>
  </si>
  <si>
    <t xml:space="preserve">Task ID</t>
  </si>
  <si>
    <t xml:space="preserve">Task</t>
  </si>
  <si>
    <t xml:space="preserve">Subtask</t>
  </si>
  <si>
    <t xml:space="preserve">Description</t>
  </si>
  <si>
    <t xml:space="preserve">Why It Is Needed</t>
  </si>
  <si>
    <t xml:space="preserve">Dependency</t>
  </si>
  <si>
    <t xml:space="preserve">Priority</t>
  </si>
  <si>
    <t xml:space="preserve">Status</t>
  </si>
  <si>
    <t xml:space="preserve">Owner</t>
  </si>
  <si>
    <t xml:space="preserve">Estimated Effort</t>
  </si>
  <si>
    <t xml:space="preserve">Deliverable</t>
  </si>
  <si>
    <t xml:space="preserve">Acceptance Criteria</t>
  </si>
  <si>
    <t xml:space="preserve">Notes</t>
  </si>
  <si>
    <t xml:space="preserve">Source</t>
  </si>
  <si>
    <t xml:space="preserve">Phase 0 — Research &amp; Product Definition</t>
  </si>
  <si>
    <t xml:space="preserve">0.1</t>
  </si>
  <si>
    <t xml:space="preserve">Competitor &amp; market research</t>
  </si>
  <si>
    <t xml:space="preserve">Reverse-engineer a market leader</t>
  </si>
  <si>
    <t xml:space="preserve">Study the publicly observable structure, UX, URL grammar, SEO model and monetisation of an established marketplace.</t>
  </si>
  <si>
    <t xml:space="preserve">You cannot design an original product well without knowing what the category standard actually is.</t>
  </si>
  <si>
    <t xml:space="preserve">None</t>
  </si>
  <si>
    <t xml:space="preserve">CRITICAL</t>
  </si>
  <si>
    <t xml:space="preserve">UNASSIGNED</t>
  </si>
  <si>
    <t xml:space="preserve">XL · 2–4 weeks</t>
  </si>
  <si>
    <t xml:space="preserve">Research specification document</t>
  </si>
  <si>
    <t xml:space="preserve">Document exists, every claim carries a confidence rating, sources cited.</t>
  </si>
  <si>
    <t xml:space="preserve">COMPLETE. See docs/99acres-reverse-engineering-and-marketplace-spec.md in this repository.</t>
  </si>
  <si>
    <t xml:space="preserve">0.2</t>
  </si>
  <si>
    <t xml:space="preserve">Define the business model</t>
  </si>
  <si>
    <t xml:space="preserve">Confirm lead-generation model</t>
  </si>
  <si>
    <t xml:space="preserve">Confirm the product makes money from seller-side visibility and leads, not from buyer fees or transactions.</t>
  </si>
  <si>
    <t xml:space="preserve">Every downstream decision (data model, ranking, quotas) follows from this. Research confirms the incumbent monetises contact reveals.</t>
  </si>
  <si>
    <t xml:space="preserve">S · 1–2 days</t>
  </si>
  <si>
    <t xml:space="preserve">One-page business-model statement</t>
  </si>
  <si>
    <t xml:space="preserve">Written statement: who pays, for what, at which moment.</t>
  </si>
  <si>
    <t xml:space="preserve">Research confirms the monetisable event is the contact reveal, not the listing.</t>
  </si>
  <si>
    <t xml:space="preserve">0.3</t>
  </si>
  <si>
    <t xml:space="preserve">Choose launch scope</t>
  </si>
  <si>
    <t xml:space="preserve">Pick cities and categories</t>
  </si>
  <si>
    <t xml:space="preserve">Decide which cities and which property categories the first version covers.</t>
  </si>
  <si>
    <t xml:space="preserve">A narrow launch is testable. A national launch across all categories is not.</t>
  </si>
  <si>
    <t xml:space="preserve">Written scope statement</t>
  </si>
  <si>
    <t xml:space="preserve">Named cities and categories, written down and agreed.</t>
  </si>
  <si>
    <t xml:space="preserve">Research proposes 3 cities, residential Buy + Rent only. YOU MUST CONFIRM which cities. See DECISIONS LOG D-11/D-12.</t>
  </si>
  <si>
    <t xml:space="preserve">0.4</t>
  </si>
  <si>
    <t xml:space="preserve">Define MVP boundary</t>
  </si>
  <si>
    <t xml:space="preserve">Agree what is NOT in v1</t>
  </si>
  <si>
    <t xml:space="preserve">Write the explicit out-of-scope list so scope creep is visible when it happens.</t>
  </si>
  <si>
    <t xml:space="preserve">Unbounded MVPs never ship. The deferred list is as important as the included list.</t>
  </si>
  <si>
    <t xml:space="preserve">Signed-off MVP + out-of-scope list</t>
  </si>
  <si>
    <t xml:space="preserve">Both lists written; each deferred item has a target future phase.</t>
  </si>
  <si>
    <t xml:space="preserve">See MVP CHECKLIST sheet. Research §24 gives the starting boundary.</t>
  </si>
  <si>
    <t xml:space="preserve">0.5</t>
  </si>
  <si>
    <t xml:space="preserve">Define success metrics</t>
  </si>
  <si>
    <t xml:space="preserve">Set measurable launch targets</t>
  </si>
  <si>
    <t xml:space="preserve">Agree the numbers that mean the MVP worked.</t>
  </si>
  <si>
    <t xml:space="preserve">Without targets you cannot tell success from activity.</t>
  </si>
  <si>
    <t xml:space="preserve">HIGH</t>
  </si>
  <si>
    <t xml:space="preserve">Metrics table with targets</t>
  </si>
  <si>
    <t xml:space="preserve">Each metric has a target number and a way to measure it.</t>
  </si>
  <si>
    <t xml:space="preserve">Research §24 proposes: ≥2,000 listings, search→PDP ≥25%, PDP→contact ≥8%, OTP completion ≥70%.</t>
  </si>
  <si>
    <t xml:space="preserve">0.6</t>
  </si>
  <si>
    <t xml:space="preserve">Legal and compliance review</t>
  </si>
  <si>
    <t xml:space="preserve">Engage a lawyer early</t>
  </si>
  <si>
    <t xml:space="preserve">Review data-protection obligations (India DPDP Act), listing liability, T&amp;C, privacy policy, RERA advertising norms.</t>
  </si>
  <si>
    <t xml:space="preserve">This is not an engineering decision and getting it wrong after launch is expensive.</t>
  </si>
  <si>
    <t xml:space="preserve">M · 3–5 days</t>
  </si>
  <si>
    <t xml:space="preserve">Legal opinion + draft policies</t>
  </si>
  <si>
    <t xml:space="preserve">Lawyer has reviewed the data model and the T&amp;C draft.</t>
  </si>
  <si>
    <t xml:space="preserve">Research §17.5 flags DPDP consent, retention, erasure; GST invoicing; RERA disclosure. Do not skip.</t>
  </si>
  <si>
    <t xml:space="preserve">0.7</t>
  </si>
  <si>
    <t xml:space="preserve">Brand and naming</t>
  </si>
  <si>
    <t xml:space="preserve">Choose name, domain, identity</t>
  </si>
  <si>
    <t xml:space="preserve">Pick a product name, secure the domain and social handles, define brand direction.</t>
  </si>
  <si>
    <t xml:space="preserve">Needed before design, SEO and any public artefact.</t>
  </si>
  <si>
    <t xml:space="preserve">Name + registered domain</t>
  </si>
  <si>
    <t xml:space="preserve">Domain registered, name checked for trademark conflict.</t>
  </si>
  <si>
    <t xml:space="preserve">MUST be original. Do not reuse any competitor branding, wording or visual identity.</t>
  </si>
  <si>
    <t xml:space="preserve">0.8</t>
  </si>
  <si>
    <t xml:space="preserve">Supply acquisition plan</t>
  </si>
  <si>
    <t xml:space="preserve">Plan how to get first listings</t>
  </si>
  <si>
    <t xml:space="preserve">Decide how the first 2,000 listings arrive: manual outreach, agent partnerships, free posting drive.</t>
  </si>
  <si>
    <t xml:space="preserve">An empty marketplace cannot be tested by buyers. Supply must exist before demand.</t>
  </si>
  <si>
    <t xml:space="preserve">Written supply plan with owner</t>
  </si>
  <si>
    <t xml:space="preserve">A named plan with a weekly listing target.</t>
  </si>
  <si>
    <t xml:space="preserve">Research §23 sequencing: supply before demand. This is a business task, not an engineering task — it is the most common reason marketplaces fail.</t>
  </si>
  <si>
    <t xml:space="preserve">Phase 1 — Project Foundation</t>
  </si>
  <si>
    <t xml:space="preserve">1.1</t>
  </si>
  <si>
    <t xml:space="preserve">Create code repository</t>
  </si>
  <si>
    <t xml:space="preserve">Set up Git + GitHub</t>
  </si>
  <si>
    <t xml:space="preserve">Create the repository, add README, LICENSE, .gitignore and CODEOWNERS.</t>
  </si>
  <si>
    <t xml:space="preserve">Single source of truth for all code and history.</t>
  </si>
  <si>
    <t xml:space="preserve">Repository with initial commit</t>
  </si>
  <si>
    <t xml:space="preserve">Repo exists, you can clone and push.</t>
  </si>
  <si>
    <t xml:space="preserve">1.2</t>
  </si>
  <si>
    <t xml:space="preserve">Branch strategy</t>
  </si>
  <si>
    <t xml:space="preserve">Agree branching rules</t>
  </si>
  <si>
    <t xml:space="preserve">Define main/develop/feature branch rules and who can merge.</t>
  </si>
  <si>
    <t xml:space="preserve">Prevents broken code reaching production.</t>
  </si>
  <si>
    <t xml:space="preserve">Written branching policy in README</t>
  </si>
  <si>
    <t xml:space="preserve">Policy documented; main branch protected.</t>
  </si>
  <si>
    <t xml:space="preserve">PROPOSED: trunk-based with short feature branches + required PR review.</t>
  </si>
  <si>
    <t xml:space="preserve">1.3</t>
  </si>
  <si>
    <t xml:space="preserve">Choose frontend framework</t>
  </si>
  <si>
    <t xml:space="preserve">Confirm Next.js + TypeScript</t>
  </si>
  <si>
    <t xml:space="preserve">Confirm the frontend framework and language.</t>
  </si>
  <si>
    <t xml:space="preserve">Server-side rendering is a hard requirement for the SEO model; retrofitting it later is a rewrite.</t>
  </si>
  <si>
    <t xml:space="preserve">Recorded decision</t>
  </si>
  <si>
    <t xml:space="preserve">Decision written in DECISIONS LOG with date.</t>
  </si>
  <si>
    <t xml:space="preserve">Research §22 recommends Next.js (App Router) + React + TypeScript. See DECISIONS LOG D-01.</t>
  </si>
  <si>
    <t xml:space="preserve">1.4</t>
  </si>
  <si>
    <t xml:space="preserve">Choose backend framework</t>
  </si>
  <si>
    <t xml:space="preserve">Confirm backend language/framework</t>
  </si>
  <si>
    <t xml:space="preserve">Confirm backend framework and whether it is a modular monolith.</t>
  </si>
  <si>
    <t xml:space="preserve">Determines hiring, libraries and deployment for the whole project.</t>
  </si>
  <si>
    <t xml:space="preserve">Research §22 recommends NestJS (TypeScript) modular monolith; Spring Boot if the team is Java-strong. See D-02.</t>
  </si>
  <si>
    <t xml:space="preserve">1.5</t>
  </si>
  <si>
    <t xml:space="preserve">Scaffold projects</t>
  </si>
  <si>
    <t xml:space="preserve">Create frontend + backend skeletons</t>
  </si>
  <si>
    <t xml:space="preserve">Create empty but runnable frontend and backend applications.</t>
  </si>
  <si>
    <t xml:space="preserve">Gives a working baseline everything else builds on.</t>
  </si>
  <si>
    <t xml:space="preserve">1.3,1.4</t>
  </si>
  <si>
    <t xml:space="preserve">Two runnable apps</t>
  </si>
  <si>
    <t xml:space="preserve">Both start locally with one command.</t>
  </si>
  <si>
    <t xml:space="preserve">1.6</t>
  </si>
  <si>
    <t xml:space="preserve">Code quality tooling</t>
  </si>
  <si>
    <t xml:space="preserve">ESLint, Prettier, TypeScript strict</t>
  </si>
  <si>
    <t xml:space="preserve">Configure linting, formatting and strict type checking.</t>
  </si>
  <si>
    <t xml:space="preserve">Catches a large class of bugs before they are written.</t>
  </si>
  <si>
    <t xml:space="preserve">Lint + format config committed</t>
  </si>
  <si>
    <t xml:space="preserve">Lint runs clean on the scaffold.</t>
  </si>
  <si>
    <t xml:space="preserve">1.7</t>
  </si>
  <si>
    <t xml:space="preserve">Environment configuration</t>
  </si>
  <si>
    <t xml:space="preserve">Set up .env handling</t>
  </si>
  <si>
    <t xml:space="preserve">Define environment variables and a .env.example; never commit real secrets.</t>
  </si>
  <si>
    <t xml:space="preserve">Secrets in Git are the single most common serious security mistake.</t>
  </si>
  <si>
    <t xml:space="preserve">.env.example + secret policy</t>
  </si>
  <si>
    <t xml:space="preserve">No real secret exists in Git history.</t>
  </si>
  <si>
    <t xml:space="preserve">See SECURITY CHECKLIST and DEVOPS sheets.</t>
  </si>
  <si>
    <t xml:space="preserve">1.8</t>
  </si>
  <si>
    <t xml:space="preserve">Local development setup</t>
  </si>
  <si>
    <t xml:space="preserve">Docker Compose for DB + cache</t>
  </si>
  <si>
    <t xml:space="preserve">Run PostgreSQL and Redis locally with one command.</t>
  </si>
  <si>
    <t xml:space="preserve">Everyone develops against the same versions.</t>
  </si>
  <si>
    <t xml:space="preserve">docker-compose.yml</t>
  </si>
  <si>
    <t xml:space="preserve">`docker compose up` gives a working DB and cache.</t>
  </si>
  <si>
    <t xml:space="preserve">1.9</t>
  </si>
  <si>
    <t xml:space="preserve">CI pipeline (basic)</t>
  </si>
  <si>
    <t xml:space="preserve">GitHub Actions: lint, typecheck, test</t>
  </si>
  <si>
    <t xml:space="preserve">Run checks automatically on every pull request.</t>
  </si>
  <si>
    <t xml:space="preserve">Stops broken code merging while the codebase is still small.</t>
  </si>
  <si>
    <t xml:space="preserve">Green CI on the scaffold</t>
  </si>
  <si>
    <t xml:space="preserve">CI runs on PR and blocks merge on failure.</t>
  </si>
  <si>
    <t xml:space="preserve">Performance and Lighthouse gates are added later in Phase 16.</t>
  </si>
  <si>
    <t xml:space="preserve">1.10</t>
  </si>
  <si>
    <t xml:space="preserve">Project documentation</t>
  </si>
  <si>
    <t xml:space="preserve">Start a living README/architecture doc</t>
  </si>
  <si>
    <t xml:space="preserve">Document how to run, test and deploy the project.</t>
  </si>
  <si>
    <t xml:space="preserve">You will not remember this in three months.</t>
  </si>
  <si>
    <t xml:space="preserve">MEDIUM</t>
  </si>
  <si>
    <t xml:space="preserve">README with setup steps</t>
  </si>
  <si>
    <t xml:space="preserve">A new machine can run the project from the README alone.</t>
  </si>
  <si>
    <t xml:space="preserve">Phase 2 — Product Architecture</t>
  </si>
  <si>
    <t xml:space="preserve">2.1</t>
  </si>
  <si>
    <t xml:space="preserve">Define module boundaries</t>
  </si>
  <si>
    <t xml:space="preserve">Agree the backend modules</t>
  </si>
  <si>
    <t xml:space="preserve">Split the backend into modules: identity, location, listing, search, lead, moderation, content, billing.</t>
  </si>
  <si>
    <t xml:space="preserve">Clear boundaries now make it cheap to split into services later, if ever needed.</t>
  </si>
  <si>
    <t xml:space="preserve">Module map diagram</t>
  </si>
  <si>
    <t xml:space="preserve">Every module has a written owner-of-data statement.</t>
  </si>
  <si>
    <t xml:space="preserve">Research §21.3 gives the module table. Modules talk via events, never by reading each other's tables.</t>
  </si>
  <si>
    <t xml:space="preserve">2.2</t>
  </si>
  <si>
    <t xml:space="preserve">Define URL / route architecture</t>
  </si>
  <si>
    <t xml:space="preserve">Design the public URL structure</t>
  </si>
  <si>
    <t xml:space="preserve">Design every public route before building any page.</t>
  </si>
  <si>
    <t xml:space="preserve">The research's single highest-leverage finding: URL structure IS the product architecture for SEO.</t>
  </si>
  <si>
    <t xml:space="preserve">Route table (see WEBSITE PAGES sheet)</t>
  </si>
  <si>
    <t xml:space="preserve">Every planned page has an agreed final URL pattern.</t>
  </si>
  <si>
    <t xml:space="preserve">Research §16.5. Two surfaces: pretty SSR URLs (indexable) and /search?… (noindex).</t>
  </si>
  <si>
    <t xml:space="preserve">2.3</t>
  </si>
  <si>
    <t xml:space="preserve">Decide rendering strategy</t>
  </si>
  <si>
    <t xml:space="preserve">SSR / SSG / ISR per route type</t>
  </si>
  <si>
    <t xml:space="preserve">Decide which pages are server-rendered, statically generated or incrementally regenerated.</t>
  </si>
  <si>
    <t xml:space="preserve">Directly determines SEO performance and hosting cost.</t>
  </si>
  <si>
    <t xml:space="preserve">Rendering decision per route type</t>
  </si>
  <si>
    <t xml:space="preserve">Each route type in WEBSITE PAGES has a rendering mode.</t>
  </si>
  <si>
    <t xml:space="preserve">Research §18.4: SSR for all indexable routes; personalisation must never block first paint.</t>
  </si>
  <si>
    <t xml:space="preserve">2.4</t>
  </si>
  <si>
    <t xml:space="preserve">Choose database</t>
  </si>
  <si>
    <t xml:space="preserve">Confirm PostgreSQL + PostGIS</t>
  </si>
  <si>
    <t xml:space="preserve">Confirm the primary database and geospatial extension.</t>
  </si>
  <si>
    <t xml:space="preserve">One engine covers search, geo and transactions for the whole first phase.</t>
  </si>
  <si>
    <t xml:space="preserve">Decision in DECISIONS LOG.</t>
  </si>
  <si>
    <t xml:space="preserve">Research §22 recommends PostgreSQL 16 + PostGIS. See D-03.</t>
  </si>
  <si>
    <t xml:space="preserve">2.5</t>
  </si>
  <si>
    <t xml:space="preserve">Decide search approach</t>
  </si>
  <si>
    <t xml:space="preserve">Postgres now, OpenSearch later</t>
  </si>
  <si>
    <t xml:space="preserve">Confirm that MVP search runs on PostgreSQL and a search cluster is deferred.</t>
  </si>
  <si>
    <t xml:space="preserve">Avoids running a search cluster before there is data to justify it.</t>
  </si>
  <si>
    <t xml:space="preserve">Recorded decision + trigger</t>
  </si>
  <si>
    <t xml:space="preserve">Written trigger for when to migrate (listing count or latency).</t>
  </si>
  <si>
    <t xml:space="preserve">Research §13.3: Postgres to ~100k listings, then OpenSearch. See D-04.</t>
  </si>
  <si>
    <t xml:space="preserve">2.6</t>
  </si>
  <si>
    <t xml:space="preserve">Define the normalised filter object</t>
  </si>
  <si>
    <t xml:space="preserve">One filter shape for both surfaces</t>
  </si>
  <si>
    <t xml:space="preserve">Design a single canonical object that both the pretty URL and the query-param URL translate into.</t>
  </si>
  <si>
    <t xml:space="preserve">Prevents the two surfaces drifting apart and returning different results.</t>
  </si>
  <si>
    <t xml:space="preserve">Filter object schema</t>
  </si>
  <si>
    <t xml:space="preserve">Both URL forms parse to an identical object in tests.</t>
  </si>
  <si>
    <t xml:space="preserve">Research §6.2 — this is the core search design decision.</t>
  </si>
  <si>
    <t xml:space="preserve">2.7</t>
  </si>
  <si>
    <t xml:space="preserve">Define ID strategy</t>
  </si>
  <si>
    <t xml:space="preserve">Public vs internal identifiers</t>
  </si>
  <si>
    <t xml:space="preserve">Decide how entity IDs look publicly and internally.</t>
  </si>
  <si>
    <t xml:space="preserve">Sequential public IDs leak business volume and allow enumeration.</t>
  </si>
  <si>
    <t xml:space="preserve">ID convention document</t>
  </si>
  <si>
    <t xml:space="preserve">Public IDs are non-sequential and prefixed per entity type.</t>
  </si>
  <si>
    <t xml:space="preserve">Research §11.1 observed typed prefixed IDs. PROPOSED: internal bigint + public prefixed short ID.</t>
  </si>
  <si>
    <t xml:space="preserve">2.8</t>
  </si>
  <si>
    <t xml:space="preserve">Define event/outbox pattern</t>
  </si>
  <si>
    <t xml:space="preserve">How modules communicate</t>
  </si>
  <si>
    <t xml:space="preserve">Design the transactional outbox and domain events.</t>
  </si>
  <si>
    <t xml:space="preserve">Keeps search index, notifications and analytics in sync without fragile dual writes.</t>
  </si>
  <si>
    <t xml:space="preserve">Event catalogue + outbox design</t>
  </si>
  <si>
    <t xml:space="preserve">Listing publish emits one event consumed by indexer and alerts.</t>
  </si>
  <si>
    <t xml:space="preserve">Research §21.4.</t>
  </si>
  <si>
    <t xml:space="preserve">2.9</t>
  </si>
  <si>
    <t xml:space="preserve">Choose hosting and cloud</t>
  </si>
  <si>
    <t xml:space="preserve">Pick where it runs</t>
  </si>
  <si>
    <t xml:space="preserve">Decide hosting for frontend, backend, database and object storage.</t>
  </si>
  <si>
    <t xml:space="preserve">Affects cost, deployment and every DevOps task.</t>
  </si>
  <si>
    <t xml:space="preserve">Recorded decision + cost estimate</t>
  </si>
  <si>
    <t xml:space="preserve">Decision in DECISIONS LOG with a monthly cost estimate.</t>
  </si>
  <si>
    <t xml:space="preserve">Research §22: managed hosting first, Kubernetes only when justified. See D-07.</t>
  </si>
  <si>
    <t xml:space="preserve">2.10</t>
  </si>
  <si>
    <t xml:space="preserve">Write architecture document</t>
  </si>
  <si>
    <t xml:space="preserve">Consolidate all decisions</t>
  </si>
  <si>
    <t xml:space="preserve">Write one document describing the whole system.</t>
  </si>
  <si>
    <t xml:space="preserve">You are not an expert — this document is how you stay oriented.</t>
  </si>
  <si>
    <t xml:space="preserve">2.1-2.9</t>
  </si>
  <si>
    <t xml:space="preserve">Architecture document</t>
  </si>
  <si>
    <t xml:space="preserve">A new developer can understand the system from it.</t>
  </si>
  <si>
    <t xml:space="preserve">Phase 3 — Design System &amp; UI/UX</t>
  </si>
  <si>
    <t xml:space="preserve">3.1</t>
  </si>
  <si>
    <t xml:space="preserve">Define design tokens</t>
  </si>
  <si>
    <t xml:space="preserve">Colour, type, spacing, radius scales</t>
  </si>
  <si>
    <t xml:space="preserve">Define the design variables that every component uses.</t>
  </si>
  <si>
    <t xml:space="preserve">Stops the UI drifting into inconsistency; makes dark mode and theming cheap.</t>
  </si>
  <si>
    <t xml:space="preserve">Token file (CSS variables)</t>
  </si>
  <si>
    <t xml:space="preserve">No component contains a raw colour or pixel value.</t>
  </si>
  <si>
    <t xml:space="preserve">Research §14.4/§14.5. MUST be an original visual identity — do not copy competitor colours or fonts.</t>
  </si>
  <si>
    <t xml:space="preserve">3.2</t>
  </si>
  <si>
    <t xml:space="preserve">Choose typography</t>
  </si>
  <si>
    <t xml:space="preserve">Font family and type scale</t>
  </si>
  <si>
    <t xml:space="preserve">Pick fonts, including Indic script coverage if localisation is ever planned.</t>
  </si>
  <si>
    <t xml:space="preserve">Font choice is hard to change later and affects performance.</t>
  </si>
  <si>
    <t xml:space="preserve">Type scale documented</t>
  </si>
  <si>
    <t xml:space="preserve">Scale defined; tabular numerals enabled for prices.</t>
  </si>
  <si>
    <t xml:space="preserve">Research §14.3 proposes a 1.250 scale and tabular numerals for price/area alignment.</t>
  </si>
  <si>
    <t xml:space="preserve">3.3</t>
  </si>
  <si>
    <t xml:space="preserve">Build base components</t>
  </si>
  <si>
    <t xml:space="preserve">Button, input, select, chip, badge</t>
  </si>
  <si>
    <t xml:space="preserve">Build the smallest reusable UI pieces.</t>
  </si>
  <si>
    <t xml:space="preserve">Everything else is assembled from these.</t>
  </si>
  <si>
    <t xml:space="preserve">L · 1–2 weeks</t>
  </si>
  <si>
    <t xml:space="preserve">Component library v1</t>
  </si>
  <si>
    <t xml:space="preserve">Each has all states: default, hover, focus, disabled, loading, error.</t>
  </si>
  <si>
    <t xml:space="preserve">Research §14.6.</t>
  </si>
  <si>
    <t xml:space="preserve">3.4</t>
  </si>
  <si>
    <t xml:space="preserve">Design the property card</t>
  </si>
  <si>
    <t xml:space="preserve">The most important component</t>
  </si>
  <si>
    <t xml:space="preserve">Design the card used in every result list.</t>
  </si>
  <si>
    <t xml:space="preserve">It is the unit of comparison; card quality drives click-through.</t>
  </si>
  <si>
    <t xml:space="preserve">Property card component</t>
  </si>
  <si>
    <t xml:space="preserve">Fixed image ratio, one primary action, area basis always labelled.</t>
  </si>
  <si>
    <t xml:space="preserve">Research §7.1. One filled primary button only — two competing buttons reduce clicks on both.</t>
  </si>
  <si>
    <t xml:space="preserve">3.5</t>
  </si>
  <si>
    <t xml:space="preserve">Design search and filter UI</t>
  </si>
  <si>
    <t xml:space="preserve">Search bar, filter panel, chips, sort</t>
  </si>
  <si>
    <t xml:space="preserve">Design the search entry point and the filter experience for desktop and mobile.</t>
  </si>
  <si>
    <t xml:space="preserve">Search is the product's main funnel.</t>
  </si>
  <si>
    <t xml:space="preserve">Search + filter components</t>
  </si>
  <si>
    <t xml:space="preserve">Mobile uses a full-screen sheet with a live result count on Apply.</t>
  </si>
  <si>
    <t xml:space="preserve">Research §6.4/§15.3. Desktop = left rail apply-on-change; mobile = sheet apply-on-confirm.</t>
  </si>
  <si>
    <t xml:space="preserve">3.6</t>
  </si>
  <si>
    <t xml:space="preserve">Design navigation</t>
  </si>
  <si>
    <t xml:space="preserve">Header, footer, mobile bottom nav</t>
  </si>
  <si>
    <t xml:space="preserve">Design site navigation for all breakpoints.</t>
  </si>
  <si>
    <t xml:space="preserve">Orientation and the supply-side call to action live here.</t>
  </si>
  <si>
    <t xml:space="preserve">Navigation components</t>
  </si>
  <si>
    <t xml:space="preserve">Bottom nav on mobile; Post Property visually distinct from primary actions.</t>
  </si>
  <si>
    <t xml:space="preserve">Research §14.9.</t>
  </si>
  <si>
    <t xml:space="preserve">3.7</t>
  </si>
  <si>
    <t xml:space="preserve">Design system states</t>
  </si>
  <si>
    <t xml:space="preserve">Empty, loading, error, skeleton</t>
  </si>
  <si>
    <t xml:space="preserve">Design what every screen shows when there is no data, data is loading, or something failed.</t>
  </si>
  <si>
    <t xml:space="preserve">Beginners skip these; they are half of the real user experience.</t>
  </si>
  <si>
    <t xml:space="preserve">State components</t>
  </si>
  <si>
    <t xml:space="preserve">Zero-results screen offers a recovery action, never a dead end.</t>
  </si>
  <si>
    <t xml:space="preserve">Research §4.2 empty-state rules: name the blocking filter, offer radius expansion, offer alert.</t>
  </si>
  <si>
    <t xml:space="preserve">3.8</t>
  </si>
  <si>
    <t xml:space="preserve">Accessibility baseline</t>
  </si>
  <si>
    <t xml:space="preserve">WCAG 2.1 AA</t>
  </si>
  <si>
    <t xml:space="preserve">Define and check contrast, focus rings, keyboard order, touch targets.</t>
  </si>
  <si>
    <t xml:space="preserve">Legal exposure, and it measurably improves usability for everyone.</t>
  </si>
  <si>
    <t xml:space="preserve">Accessibility checklist passed</t>
  </si>
  <si>
    <t xml:space="preserve">Visible focus ring everywhere; 44x44px minimum touch targets.</t>
  </si>
  <si>
    <t xml:space="preserve">Research §14.11. Never remove focus outlines without a replacement.</t>
  </si>
  <si>
    <t xml:space="preserve">3.9</t>
  </si>
  <si>
    <t xml:space="preserve">Responsive rules</t>
  </si>
  <si>
    <t xml:space="preserve">Breakpoints and layout changes</t>
  </si>
  <si>
    <t xml:space="preserve">Define what changes at each breakpoint.</t>
  </si>
  <si>
    <t xml:space="preserve">Most traffic will be mobile.</t>
  </si>
  <si>
    <t xml:space="preserve">3.4,3.5</t>
  </si>
  <si>
    <t xml:space="preserve">Responsive specification</t>
  </si>
  <si>
    <t xml:space="preserve">Every component has a defined behaviour at each breakpoint.</t>
  </si>
  <si>
    <t xml:space="preserve">Research §15.2 gives the full breakpoint table.</t>
  </si>
  <si>
    <t xml:space="preserve">3.10</t>
  </si>
  <si>
    <t xml:space="preserve">Motion and reduced motion</t>
  </si>
  <si>
    <t xml:space="preserve">Animation rules</t>
  </si>
  <si>
    <t xml:space="preserve">Define durations, easing, and honour prefers-reduced-motion.</t>
  </si>
  <si>
    <t xml:space="preserve">Excess motion feels slow and harms accessibility.</t>
  </si>
  <si>
    <t xml:space="preserve">Motion tokens</t>
  </si>
  <si>
    <t xml:space="preserve">No core-path animation exceeds 200ms; reduced-motion respected.</t>
  </si>
  <si>
    <t xml:space="preserve">Research §14.10.</t>
  </si>
  <si>
    <t xml:space="preserve">3.11</t>
  </si>
  <si>
    <t xml:space="preserve">Wireframe key screens</t>
  </si>
  <si>
    <t xml:space="preserve">Home, results, PDP, posting, dashboard</t>
  </si>
  <si>
    <t xml:space="preserve">Draw the main screens before building them.</t>
  </si>
  <si>
    <t xml:space="preserve">Cheaper to change a drawing than a build.</t>
  </si>
  <si>
    <t xml:space="preserve">3.4-3.7</t>
  </si>
  <si>
    <t xml:space="preserve">Wireframes for all MVP screens</t>
  </si>
  <si>
    <t xml:space="preserve">Every MVP page in WEBSITE PAGES has a wireframe.</t>
  </si>
  <si>
    <t xml:space="preserve">Phase 4 — Database &amp; Backend Foundation</t>
  </si>
  <si>
    <t xml:space="preserve">4.1</t>
  </si>
  <si>
    <t xml:space="preserve">Design database schema v1</t>
  </si>
  <si>
    <t xml:space="preserve">Tables, columns, types</t>
  </si>
  <si>
    <t xml:space="preserve">Write the first schema covering MVP entities only.</t>
  </si>
  <si>
    <t xml:space="preserve">The data model constrains everything built on top of it.</t>
  </si>
  <si>
    <t xml:space="preserve">Schema definition / migration files</t>
  </si>
  <si>
    <t xml:space="preserve">All MVP tables in DATABASE sheet exist.</t>
  </si>
  <si>
    <t xml:space="preserve">Research §12. Do not build future-phase tables yet.</t>
  </si>
  <si>
    <t xml:space="preserve">4.2</t>
  </si>
  <si>
    <t xml:space="preserve">Set up migrations</t>
  </si>
  <si>
    <t xml:space="preserve">Versioned schema changes</t>
  </si>
  <si>
    <t xml:space="preserve">Configure a migration tool so schema changes are versioned and reversible.</t>
  </si>
  <si>
    <t xml:space="preserve">Manual schema edits in production cause outages and data loss.</t>
  </si>
  <si>
    <t xml:space="preserve">Migration tooling working</t>
  </si>
  <si>
    <t xml:space="preserve">Migrations run forward and roll back cleanly.</t>
  </si>
  <si>
    <t xml:space="preserve">4.3</t>
  </si>
  <si>
    <t xml:space="preserve">Three area fields, not one</t>
  </si>
  <si>
    <t xml:space="preserve">carpet / built-up / super area</t>
  </si>
  <si>
    <t xml:space="preserve">Model the three Indian area measurements as separate fields.</t>
  </si>
  <si>
    <t xml:space="preserve">Conflating them produces wrong price-per-sqft and destroys user trust.</t>
  </si>
  <si>
    <t xml:space="preserve">Area fields in schema</t>
  </si>
  <si>
    <t xml:space="preserve">All three fields exist plus an explicit area-unit field.</t>
  </si>
  <si>
    <t xml:space="preserve">Research §12.3 — flagged as the most common data-integrity failure in this domain.</t>
  </si>
  <si>
    <t xml:space="preserve">4.4</t>
  </si>
  <si>
    <t xml:space="preserve">Listing state machine</t>
  </si>
  <si>
    <t xml:space="preserve">Define lifecycle states</t>
  </si>
  <si>
    <t xml:space="preserve">Implement DRAFT, UNDER_SCREENING, ACTIVE, REJECTED, EXPIRED, SOLD/RENTED, DELETED.</t>
  </si>
  <si>
    <t xml:space="preserve">Lifecycle is a product feature, not an implementation detail.</t>
  </si>
  <si>
    <t xml:space="preserve">State machine + transitions</t>
  </si>
  <si>
    <t xml:space="preserve">Illegal transitions are rejected by the database or service layer.</t>
  </si>
  <si>
    <t xml:space="preserve">Research §8.1 observed these exact states on the incumbent.</t>
  </si>
  <si>
    <t xml:space="preserve">4.5</t>
  </si>
  <si>
    <t xml:space="preserve">Seed reference data</t>
  </si>
  <si>
    <t xml:space="preserve">Property types, amenities</t>
  </si>
  <si>
    <t xml:space="preserve">Load the fixed lookup lists.</t>
  </si>
  <si>
    <t xml:space="preserve">Needed before any listing can be created.</t>
  </si>
  <si>
    <t xml:space="preserve">Seed scripts</t>
  </si>
  <si>
    <t xml:space="preserve">Reference tables populated and re-runnable.</t>
  </si>
  <si>
    <t xml:space="preserve">4.6</t>
  </si>
  <si>
    <t xml:space="preserve">Core indexes</t>
  </si>
  <si>
    <t xml:space="preserve">Add indexes for hot queries</t>
  </si>
  <si>
    <t xml:space="preserve">Add the indexes the search and dashboard queries need.</t>
  </si>
  <si>
    <t xml:space="preserve">Without them search degrades badly as data grows.</t>
  </si>
  <si>
    <t xml:space="preserve">Index migration</t>
  </si>
  <si>
    <t xml:space="preserve">Indexes from DATABASE sheet created.</t>
  </si>
  <si>
    <t xml:space="preserve">Research §12.4 gives a starting index plan. Do not add every possible index — measure first.</t>
  </si>
  <si>
    <t xml:space="preserve">4.7</t>
  </si>
  <si>
    <t xml:space="preserve">Backend skeleton + health check</t>
  </si>
  <si>
    <t xml:space="preserve">Module folders, config, /health</t>
  </si>
  <si>
    <t xml:space="preserve">Create the backend module structure and a health endpoint.</t>
  </si>
  <si>
    <t xml:space="preserve">Deployment and monitoring need a health check from day one.</t>
  </si>
  <si>
    <t xml:space="preserve">Running API with /health</t>
  </si>
  <si>
    <t xml:space="preserve">/health returns 200 with DB connectivity confirmed.</t>
  </si>
  <si>
    <t xml:space="preserve">4.8</t>
  </si>
  <si>
    <t xml:space="preserve">Error handling and logging</t>
  </si>
  <si>
    <t xml:space="preserve">Standard error shape</t>
  </si>
  <si>
    <t xml:space="preserve">Define one error response format and structured logging.</t>
  </si>
  <si>
    <t xml:space="preserve">Consistent errors make debugging and frontend handling far simpler.</t>
  </si>
  <si>
    <t xml:space="preserve">Error middleware + logger</t>
  </si>
  <si>
    <t xml:space="preserve">All errors return the same JSON shape with a request ID.</t>
  </si>
  <si>
    <t xml:space="preserve">4.9</t>
  </si>
  <si>
    <t xml:space="preserve">API conventions</t>
  </si>
  <si>
    <t xml:space="preserve">Naming, versioning, pagination</t>
  </si>
  <si>
    <t xml:space="preserve">Agree REST conventions before writing endpoints.</t>
  </si>
  <si>
    <t xml:space="preserve">Inconsistent APIs are painful to consume and document.</t>
  </si>
  <si>
    <t xml:space="preserve">API convention document</t>
  </si>
  <si>
    <t xml:space="preserve">Documented and applied to the first endpoint.</t>
  </si>
  <si>
    <t xml:space="preserve">See API CHECKLIST sheet.</t>
  </si>
  <si>
    <t xml:space="preserve">4.10</t>
  </si>
  <si>
    <t xml:space="preserve">Object storage + presigned uploads</t>
  </si>
  <si>
    <t xml:space="preserve">S3-compatible bucket</t>
  </si>
  <si>
    <t xml:space="preserve">Set up media storage with direct-from-browser presigned uploads.</t>
  </si>
  <si>
    <t xml:space="preserve">Keeps large image uploads off the application server.</t>
  </si>
  <si>
    <t xml:space="preserve">Working upload to storage</t>
  </si>
  <si>
    <t xml:space="preserve">A file uploads from the browser without passing through the API.</t>
  </si>
  <si>
    <t xml:space="preserve">Research §22. Enforce content-type and size limits on the presigned URL.</t>
  </si>
  <si>
    <t xml:space="preserve">4.11</t>
  </si>
  <si>
    <t xml:space="preserve">Background job queue</t>
  </si>
  <si>
    <t xml:space="preserve">Set up worker + queue</t>
  </si>
  <si>
    <t xml:space="preserve">Configure the queue and a worker process.</t>
  </si>
  <si>
    <t xml:space="preserve">Image processing, moderation, alerts and indexing must not block requests.</t>
  </si>
  <si>
    <t xml:space="preserve">Queue + worker running</t>
  </si>
  <si>
    <t xml:space="preserve">A test job is enqueued and processed.</t>
  </si>
  <si>
    <t xml:space="preserve">Research §22 proposes BullMQ on Redis to avoid new infrastructure.</t>
  </si>
  <si>
    <t xml:space="preserve">Phase 5 — User Authentication</t>
  </si>
  <si>
    <t xml:space="preserve">5.1</t>
  </si>
  <si>
    <t xml:space="preserve">Choose OTP provider</t>
  </si>
  <si>
    <t xml:space="preserve">Pick an SMS/OTP vendor</t>
  </si>
  <si>
    <t xml:space="preserve">Select and contract an SMS provider that supports Indian DLT registration.</t>
  </si>
  <si>
    <t xml:space="preserve">OTP is the primary login method; DLT template registration is legally required in India and takes time.</t>
  </si>
  <si>
    <t xml:space="preserve">Signed provider + registered templates</t>
  </si>
  <si>
    <t xml:space="preserve">Test OTP delivered to a real Indian number.</t>
  </si>
  <si>
    <t xml:space="preserve">Research §22 names MSG91 / Twilio / AWS SNS as candidates. See DECISIONS LOG D-09. Start DLT registration EARLY — it has a lead time.</t>
  </si>
  <si>
    <t xml:space="preserve">5.2</t>
  </si>
  <si>
    <t xml:space="preserve">User + role model</t>
  </si>
  <si>
    <t xml:space="preserve">Users with multiple roles</t>
  </si>
  <si>
    <t xml:space="preserve">Implement users where one account can be both buyer and seller.</t>
  </si>
  <si>
    <t xml:space="preserve">A person who buys today may sell next year; single-role accounts force duplicate accounts.</t>
  </si>
  <si>
    <t xml:space="preserve">User table + role array</t>
  </si>
  <si>
    <t xml:space="preserve">One account can hold buyer and owner roles simultaneously.</t>
  </si>
  <si>
    <t xml:space="preserve">Research §12.2. Incumbent enforces one account per phone+email.</t>
  </si>
  <si>
    <t xml:space="preserve">5.3</t>
  </si>
  <si>
    <t xml:space="preserve">OTP request + verify</t>
  </si>
  <si>
    <t xml:space="preserve">Send and check the code</t>
  </si>
  <si>
    <t xml:space="preserve">Build the endpoints that send an OTP and verify it.</t>
  </si>
  <si>
    <t xml:space="preserve">The entry point to every authenticated action.</t>
  </si>
  <si>
    <t xml:space="preserve">5.1,5.2</t>
  </si>
  <si>
    <t xml:space="preserve">Working OTP login</t>
  </si>
  <si>
    <t xml:space="preserve">A new user can register and log in by phone only.</t>
  </si>
  <si>
    <t xml:space="preserve">5.4</t>
  </si>
  <si>
    <t xml:space="preserve">OTP abuse protection</t>
  </si>
  <si>
    <t xml:space="preserve">Rate limits and expiry</t>
  </si>
  <si>
    <t xml:space="preserve">Limit OTP requests per number and per IP; expire and single-use every code.</t>
  </si>
  <si>
    <t xml:space="preserve">Without limits, OTP endpoints are abused and your SMS bill becomes the attack.</t>
  </si>
  <si>
    <t xml:space="preserve">Rate-limit rules live</t>
  </si>
  <si>
    <t xml:space="preserve">Max attempts enforced; codes expire; reuse rejected.</t>
  </si>
  <si>
    <t xml:space="preserve">Research §17.5 proposes max 5/hour/number with exponential backoff.</t>
  </si>
  <si>
    <t xml:space="preserve">5.5</t>
  </si>
  <si>
    <t xml:space="preserve">Session tokens</t>
  </si>
  <si>
    <t xml:space="preserve">JWT access + refresh rotation</t>
  </si>
  <si>
    <t xml:space="preserve">Issue short-lived access tokens and rotating refresh tokens.</t>
  </si>
  <si>
    <t xml:space="preserve">Balances security against making users log in constantly.</t>
  </si>
  <si>
    <t xml:space="preserve">Token issue + refresh working</t>
  </si>
  <si>
    <t xml:space="preserve">Access token expires; refresh rotates; reuse is detected.</t>
  </si>
  <si>
    <t xml:space="preserve">Research §22. See DECISIONS LOG D-08.</t>
  </si>
  <si>
    <t xml:space="preserve">5.6</t>
  </si>
  <si>
    <t xml:space="preserve">Role-based authorization</t>
  </si>
  <si>
    <t xml:space="preserve">Permission checks</t>
  </si>
  <si>
    <t xml:space="preserve">Enforce what each role may do on the server, on every endpoint.</t>
  </si>
  <si>
    <t xml:space="preserve">Client-side role checks are decoration; server checks are security.</t>
  </si>
  <si>
    <t xml:space="preserve">Authorization middleware</t>
  </si>
  <si>
    <t xml:space="preserve">A buyer token cannot edit a listing, proven by test.</t>
  </si>
  <si>
    <t xml:space="preserve">5.7</t>
  </si>
  <si>
    <t xml:space="preserve">Account management</t>
  </si>
  <si>
    <t xml:space="preserve">Profile edit, phone change</t>
  </si>
  <si>
    <t xml:space="preserve">Let users update name, email and phone with re-verification.</t>
  </si>
  <si>
    <t xml:space="preserve">Basic expectation; phone change must invalidate sessions.</t>
  </si>
  <si>
    <t xml:space="preserve">Profile screens + API</t>
  </si>
  <si>
    <t xml:space="preserve">Phone change requires OTP and invalidates other sessions.</t>
  </si>
  <si>
    <t xml:space="preserve">Research §17.5.</t>
  </si>
  <si>
    <t xml:space="preserve">5.8</t>
  </si>
  <si>
    <t xml:space="preserve">Login/registration UI</t>
  </si>
  <si>
    <t xml:space="preserve">Auth screens and modal</t>
  </si>
  <si>
    <t xml:space="preserve">Build sign-in, registration and the inline auth prompt.</t>
  </si>
  <si>
    <t xml:space="preserve">Must interrupt a buyer action without losing what they were doing.</t>
  </si>
  <si>
    <t xml:space="preserve">3.3,5.3</t>
  </si>
  <si>
    <t xml:space="preserve">Auth UI complete</t>
  </si>
  <si>
    <t xml:space="preserve">After login, the interrupted action (e.g. save) completes automatically.</t>
  </si>
  <si>
    <t xml:space="preserve">Research §9.1 — replaying the intended action after login is a real conversion factor.</t>
  </si>
  <si>
    <t xml:space="preserve">5.9</t>
  </si>
  <si>
    <t xml:space="preserve">Account deletion / data rights</t>
  </si>
  <si>
    <t xml:space="preserve">DPDP compliance</t>
  </si>
  <si>
    <t xml:space="preserve">Let users request deletion and export of their data.</t>
  </si>
  <si>
    <t xml:space="preserve">Legal requirement under India's data-protection law.</t>
  </si>
  <si>
    <t xml:space="preserve">0.6,5.7</t>
  </si>
  <si>
    <t xml:space="preserve">Deletion + export flow</t>
  </si>
  <si>
    <t xml:space="preserve">A request is honoured within the policy window and logged.</t>
  </si>
  <si>
    <t xml:space="preserve">Research §17.5. Soft-delete only where leads/payments reference the user.</t>
  </si>
  <si>
    <t xml:space="preserve">Phase 6 — Location &amp; Property Data</t>
  </si>
  <si>
    <t xml:space="preserve">6.1</t>
  </si>
  <si>
    <t xml:space="preserve">Design the location model</t>
  </si>
  <si>
    <t xml:space="preserve">Hierarchical place tree</t>
  </si>
  <si>
    <t xml:space="preserve">Build country → state → city → zone → locality → society as a self-referencing tree.</t>
  </si>
  <si>
    <t xml:space="preserve">The research calls this the most important table in the system; search, SEO and stats all depend on it.</t>
  </si>
  <si>
    <t xml:space="preserve">LOCATION table + tree queries</t>
  </si>
  <si>
    <t xml:space="preserve">Any locality resolves its full ancestor path in one query.</t>
  </si>
  <si>
    <t xml:space="preserve">Research §12.2/§12.3. Incumbent uses numeric location IDs shared across all features.</t>
  </si>
  <si>
    <t xml:space="preserve">6.2</t>
  </si>
  <si>
    <t xml:space="preserve">Source locality data</t>
  </si>
  <si>
    <t xml:space="preserve">Acquire place data for launch cities</t>
  </si>
  <si>
    <t xml:space="preserve">Obtain or compile locality names and coordinates for the launch cities.</t>
  </si>
  <si>
    <t xml:space="preserve">Cannot be generated; this is a real data-acquisition task people underestimate.</t>
  </si>
  <si>
    <t xml:space="preserve">0.3,6.1</t>
  </si>
  <si>
    <t xml:space="preserve">Seeded gazetteer</t>
  </si>
  <si>
    <t xml:space="preserve">All localities in the launch cities exist with coordinates.</t>
  </si>
  <si>
    <t xml:space="preserve">DECISION REQUIRED: source (open data, commercial, manual). Research §20.4 flags boundary polygons as a genuine project.</t>
  </si>
  <si>
    <t xml:space="preserve">6.3</t>
  </si>
  <si>
    <t xml:space="preserve">Location aliases</t>
  </si>
  <si>
    <t xml:space="preserve">Handle alternate names</t>
  </si>
  <si>
    <t xml:space="preserve">Store alternate spellings (e.g. Bangalore/Bengaluru, Gurgaon/Gurugram).</t>
  </si>
  <si>
    <t xml:space="preserve">Users type both; without aliases search silently fails.</t>
  </si>
  <si>
    <t xml:space="preserve">Alias field + search support</t>
  </si>
  <si>
    <t xml:space="preserve">Searching either spelling returns the same place.</t>
  </si>
  <si>
    <t xml:space="preserve">Research §12.2 — specifically called out for the Indian market.</t>
  </si>
  <si>
    <t xml:space="preserve">6.4</t>
  </si>
  <si>
    <t xml:space="preserve">Location slugs</t>
  </si>
  <si>
    <t xml:space="preserve">URL-safe names</t>
  </si>
  <si>
    <t xml:space="preserve">Generate and store stable slugs and full paths for every place.</t>
  </si>
  <si>
    <t xml:space="preserve">SEO URLs are built from these; they must be stable.</t>
  </si>
  <si>
    <t xml:space="preserve">6.1,2.2</t>
  </si>
  <si>
    <t xml:space="preserve">Slug fields populated</t>
  </si>
  <si>
    <t xml:space="preserve">Every active place has a unique, stable slug.</t>
  </si>
  <si>
    <t xml:space="preserve">6.5</t>
  </si>
  <si>
    <t xml:space="preserve">Typeahead suggestion table</t>
  </si>
  <si>
    <t xml:space="preserve">Denormalised search-as-you-type data</t>
  </si>
  <si>
    <t xml:space="preserve">Build a separate lightweight table for autocomplete.</t>
  </si>
  <si>
    <t xml:space="preserve">Never run autocomplete against the live property table — it will be slow.</t>
  </si>
  <si>
    <t xml:space="preserve">place_suggest table + index</t>
  </si>
  <si>
    <t xml:space="preserve">Typeahead responds within the latency budget.</t>
  </si>
  <si>
    <t xml:space="preserve">Research §13.3. Include result counts next to suggestions — it improves selection quality.</t>
  </si>
  <si>
    <t xml:space="preserve">6.6</t>
  </si>
  <si>
    <t xml:space="preserve">Typeahead API + UI</t>
  </si>
  <si>
    <t xml:space="preserve">Multi-entity autocomplete</t>
  </si>
  <si>
    <t xml:space="preserve">Return grouped suggestions (city, locality, society) and render them as removable chips.</t>
  </si>
  <si>
    <t xml:space="preserve">Users type cities, localities and society names interchangeably.</t>
  </si>
  <si>
    <t xml:space="preserve">6.5,3.5</t>
  </si>
  <si>
    <t xml:space="preserve">Working typeahead</t>
  </si>
  <si>
    <t xml:space="preserve">Grouped results; debounced; in-flight requests cancelled.</t>
  </si>
  <si>
    <t xml:space="preserve">Research §6.6. Debounce ~250ms and cancel stale requests to avoid flicker.</t>
  </si>
  <si>
    <t xml:space="preserve">6.7</t>
  </si>
  <si>
    <t xml:space="preserve">PostGIS geometry</t>
  </si>
  <si>
    <t xml:space="preserve">Coordinates and distance queries</t>
  </si>
  <si>
    <t xml:space="preserve">Enable PostGIS and store point geometry for places and listings.</t>
  </si>
  <si>
    <t xml:space="preserve">Needed for radius search, map bounds and 'near me'.</t>
  </si>
  <si>
    <t xml:space="preserve">Geo columns + GIST indexes</t>
  </si>
  <si>
    <t xml:space="preserve">A radius query returns correct results.</t>
  </si>
  <si>
    <t xml:space="preserve">Research §13.3. Boundary polygons can come later, city by city.</t>
  </si>
  <si>
    <t xml:space="preserve">6.8</t>
  </si>
  <si>
    <t xml:space="preserve">Property type taxonomy</t>
  </si>
  <si>
    <t xml:space="preserve">Define categories</t>
  </si>
  <si>
    <t xml:space="preserve">Define residential/commercial types and which fields each requires.</t>
  </si>
  <si>
    <t xml:space="preserve">Field sets differ per type; this drives the posting form and filters.</t>
  </si>
  <si>
    <t xml:space="preserve">Type registry</t>
  </si>
  <si>
    <t xml:space="preserve">Each type maps to a required field set.</t>
  </si>
  <si>
    <t xml:space="preserve">Research §8.2 recommends a declarative field registry rather than hardcoded forms. See D-12.</t>
  </si>
  <si>
    <t xml:space="preserve">6.9</t>
  </si>
  <si>
    <t xml:space="preserve">Amenity taxonomy</t>
  </si>
  <si>
    <t xml:space="preserve">Define amenity list and groups</t>
  </si>
  <si>
    <t xml:space="preserve">Define amenities grouped by society/flat/safety/recreation.</t>
  </si>
  <si>
    <t xml:space="preserve">Used in posting, filtering and display; changing it later is disruptive.</t>
  </si>
  <si>
    <t xml:space="preserve">Amenity reference data</t>
  </si>
  <si>
    <t xml:space="preserve">Amenities seeded with groups and filterability flags.</t>
  </si>
  <si>
    <t xml:space="preserve">Research §12.2.</t>
  </si>
  <si>
    <t xml:space="preserve">Phase 7 — Seller / Owner Property Posting</t>
  </si>
  <si>
    <t xml:space="preserve">7.1</t>
  </si>
  <si>
    <t xml:space="preserve">Design the posting wizard</t>
  </si>
  <si>
    <t xml:space="preserve">Plan the step sequence</t>
  </si>
  <si>
    <t xml:space="preserve">Design the multi-step form: basics, location, profile, media, pricing, description, contact, preview.</t>
  </si>
  <si>
    <t xml:space="preserve">A long single-page form has very poor completion rates on mobile.</t>
  </si>
  <si>
    <t xml:space="preserve">3.11,6.8</t>
  </si>
  <si>
    <t xml:space="preserve">Wizard flow design</t>
  </si>
  <si>
    <t xml:space="preserve">Every step and field mapped; see USER FLOWS sheet.</t>
  </si>
  <si>
    <t xml:space="preserve">Research §8.1 observed a 6-step form on the incumbent; §8.2 proposes our version.</t>
  </si>
  <si>
    <t xml:space="preserve">7.2</t>
  </si>
  <si>
    <t xml:space="preserve">Draft autosave</t>
  </si>
  <si>
    <t xml:space="preserve">Save from the first step</t>
  </si>
  <si>
    <t xml:space="preserve">Create a server-side draft as soon as the user starts, and save each step.</t>
  </si>
  <si>
    <t xml:space="preserve">Losing a half-finished form is the single biggest abandonment cause.</t>
  </si>
  <si>
    <t xml:space="preserve">7.1,5.5</t>
  </si>
  <si>
    <t xml:space="preserve">Draft persistence</t>
  </si>
  <si>
    <t xml:space="preserve">Refreshing mid-form loses nothing; draft resumable from dashboard.</t>
  </si>
  <si>
    <t xml:space="preserve">Research §8.2 flags this as a critical requirement.</t>
  </si>
  <si>
    <t xml:space="preserve">7.3</t>
  </si>
  <si>
    <t xml:space="preserve">Config-driven form fields</t>
  </si>
  <si>
    <t xml:space="preserve">Declarative field registry</t>
  </si>
  <si>
    <t xml:space="preserve">Drive the visible fields from (intent, segment, property type) configuration.</t>
  </si>
  <si>
    <t xml:space="preserve">Hardcoded branching becomes unmaintainable once there are several property types.</t>
  </si>
  <si>
    <t xml:space="preserve">6.8,7.1</t>
  </si>
  <si>
    <t xml:space="preserve">Field registry + renderer</t>
  </si>
  <si>
    <t xml:space="preserve">Adding a property type needs no new form code.</t>
  </si>
  <si>
    <t xml:space="preserve">Research §8.2.</t>
  </si>
  <si>
    <t xml:space="preserve">7.4</t>
  </si>
  <si>
    <t xml:space="preserve">Location step</t>
  </si>
  <si>
    <t xml:space="preserve">Map pin + locality validation</t>
  </si>
  <si>
    <t xml:space="preserve">Let the seller pick locality and drag a map pin; validate the pin against the locality.</t>
  </si>
  <si>
    <t xml:space="preserve">Wrong locations make search results wrong and erode trust fast.</t>
  </si>
  <si>
    <t xml:space="preserve">6.6,6.7</t>
  </si>
  <si>
    <t xml:space="preserve">Location step working</t>
  </si>
  <si>
    <t xml:space="preserve">Pin outside the selected locality triggers a warning.</t>
  </si>
  <si>
    <t xml:space="preserve">7.5</t>
  </si>
  <si>
    <t xml:space="preserve">Photo upload</t>
  </si>
  <si>
    <t xml:space="preserve">Multi-image upload pipeline</t>
  </si>
  <si>
    <t xml:space="preserve">Client-side compression, presigned upload, progress, reorder, set primary.</t>
  </si>
  <si>
    <t xml:space="preserve">Photos are the highest-impact listing field.</t>
  </si>
  <si>
    <t xml:space="preserve">4.10,7.1</t>
  </si>
  <si>
    <t xml:space="preserve">Working photo upload</t>
  </si>
  <si>
    <t xml:space="preserve">Multiple photos upload, reorder and persist reliably on mobile.</t>
  </si>
  <si>
    <t xml:space="preserve">Research §24 proposes a conservative cap of 30 for MVP (incumbent allows 50).</t>
  </si>
  <si>
    <t xml:space="preserve">7.6</t>
  </si>
  <si>
    <t xml:space="preserve">Image processing worker</t>
  </si>
  <si>
    <t xml:space="preserve">Thumbnails, format conversion, EXIF strip</t>
  </si>
  <si>
    <t xml:space="preserve">Generate sized variants, convert to modern formats, strip EXIF metadata.</t>
  </si>
  <si>
    <t xml:space="preserve">EXIF can contain the home's GPS coordinates — a real privacy risk.</t>
  </si>
  <si>
    <t xml:space="preserve">4.11,7.5</t>
  </si>
  <si>
    <t xml:space="preserve">Processing pipeline</t>
  </si>
  <si>
    <t xml:space="preserve">Variants generated; EXIF removed; originals retained securely.</t>
  </si>
  <si>
    <t xml:space="preserve">Research §17.5 and §18.4.</t>
  </si>
  <si>
    <t xml:space="preserve">7.7</t>
  </si>
  <si>
    <t xml:space="preserve">Perceptual image hashing</t>
  </si>
  <si>
    <t xml:space="preserve">Duplicate detection groundwork</t>
  </si>
  <si>
    <t xml:space="preserve">Compute and store an image fingerprint on upload.</t>
  </si>
  <si>
    <t xml:space="preserve">Duplicate listings are the top user complaint in this category; build the hook early.</t>
  </si>
  <si>
    <t xml:space="preserve">phash stored per image</t>
  </si>
  <si>
    <t xml:space="preserve">Identical images across listings are detectable by query.</t>
  </si>
  <si>
    <t xml:space="preserve">Research §12.2/§17.5 — 'build the hash pipeline early, tune later'.</t>
  </si>
  <si>
    <t xml:space="preserve">7.8</t>
  </si>
  <si>
    <t xml:space="preserve">Pricing step</t>
  </si>
  <si>
    <t xml:space="preserve">Price, negotiable, deposits, charges</t>
  </si>
  <si>
    <t xml:space="preserve">Capture sale price or rent plus deposit, maintenance and charges.</t>
  </si>
  <si>
    <t xml:space="preserve">Price is the primary comparison field; incomplete pricing generates wasted leads.</t>
  </si>
  <si>
    <t xml:space="preserve">Pricing step working</t>
  </si>
  <si>
    <t xml:space="preserve">Rent listings capture deposit and maintenance separately.</t>
  </si>
  <si>
    <t xml:space="preserve">7.9</t>
  </si>
  <si>
    <t xml:space="preserve">Description sanitisation</t>
  </si>
  <si>
    <t xml:space="preserve">Strip contact details from text</t>
  </si>
  <si>
    <t xml:space="preserve">Detect and remove phone numbers, emails and URLs from free text, including obfuscated forms.</t>
  </si>
  <si>
    <t xml:space="preserve">Protects the lead model and prevents off-platform scams.</t>
  </si>
  <si>
    <t xml:space="preserve">Sanitisation active</t>
  </si>
  <si>
    <t xml:space="preserve">Obfuscated numbers ('nine eight seven…') are caught in tests.</t>
  </si>
  <si>
    <t xml:space="preserve">Research §17.4 — incumbent enforces this in both text and images.</t>
  </si>
  <si>
    <t xml:space="preserve">7.10</t>
  </si>
  <si>
    <t xml:space="preserve">Completeness score</t>
  </si>
  <si>
    <t xml:space="preserve">Live listing quality score</t>
  </si>
  <si>
    <t xml:space="preserve">Show a score with the value of each missing field.</t>
  </si>
  <si>
    <t xml:space="preserve">The cheapest available lever on listing quality.</t>
  </si>
  <si>
    <t xml:space="preserve">Score shown in wizard</t>
  </si>
  <si>
    <t xml:space="preserve">Score updates live and names the next best field to add.</t>
  </si>
  <si>
    <t xml:space="preserve">7.11</t>
  </si>
  <si>
    <t xml:space="preserve">Preview step</t>
  </si>
  <si>
    <t xml:space="preserve">Exact public rendering</t>
  </si>
  <si>
    <t xml:space="preserve">Show the seller precisely what buyers will see.</t>
  </si>
  <si>
    <t xml:space="preserve">Builds seller confidence and catches mistakes before publication.</t>
  </si>
  <si>
    <t xml:space="preserve">7.3,9.1</t>
  </si>
  <si>
    <t xml:space="preserve">Preview screen</t>
  </si>
  <si>
    <t xml:space="preserve">Preview is visually identical to the live page.</t>
  </si>
  <si>
    <t xml:space="preserve">7.12</t>
  </si>
  <si>
    <t xml:space="preserve">Publish + free quota</t>
  </si>
  <si>
    <t xml:space="preserve">Submit for screening, enforce limits</t>
  </si>
  <si>
    <t xml:space="preserve">Publish into the screening state and enforce the free-listing quota.</t>
  </si>
  <si>
    <t xml:space="preserve">Quota is the foundation of later monetisation.</t>
  </si>
  <si>
    <t xml:space="preserve">7.11,4.4</t>
  </si>
  <si>
    <t xml:space="preserve">Publish working</t>
  </si>
  <si>
    <t xml:space="preserve">Quota enforced; over-quota attempt is blocked with a clear message.</t>
  </si>
  <si>
    <t xml:space="preserve">Research §8.1 observed 1–2 free owner listings. Our quota value: DECISION REQUIRED.</t>
  </si>
  <si>
    <t xml:space="preserve">7.13</t>
  </si>
  <si>
    <t xml:space="preserve">Edit / renew / delete</t>
  </si>
  <si>
    <t xml:space="preserve">Manage an existing listing</t>
  </si>
  <si>
    <t xml:space="preserve">Let sellers edit, renew before expiry and delete listings.</t>
  </si>
  <si>
    <t xml:space="preserve">Stale listings are the category's biggest trust problem.</t>
  </si>
  <si>
    <t xml:space="preserve">Listing management working</t>
  </si>
  <si>
    <t xml:space="preserve">Edited listings re-enter screening where materially changed.</t>
  </si>
  <si>
    <t xml:space="preserve">Phase 8 — Property Search &amp; Filters</t>
  </si>
  <si>
    <t xml:space="preserve">8.1</t>
  </si>
  <si>
    <t xml:space="preserve">Search query builder</t>
  </si>
  <si>
    <t xml:space="preserve">Translate filters to SQL</t>
  </si>
  <si>
    <t xml:space="preserve">Build the service that turns the normalised filter object into a database query.</t>
  </si>
  <si>
    <t xml:space="preserve">The core of the product; everything funnels through it.</t>
  </si>
  <si>
    <t xml:space="preserve">2.6,4.6</t>
  </si>
  <si>
    <t xml:space="preserve">Search service</t>
  </si>
  <si>
    <t xml:space="preserve">All MVP filters combine correctly and return correct results.</t>
  </si>
  <si>
    <t xml:space="preserve">Research §6.3 gives the full filter taxonomy.</t>
  </si>
  <si>
    <t xml:space="preserve">8.2</t>
  </si>
  <si>
    <t xml:space="preserve">Facet counts</t>
  </si>
  <si>
    <t xml:space="preserve">Counts per filter option</t>
  </si>
  <si>
    <t xml:space="preserve">Compute how many results each filter option would return.</t>
  </si>
  <si>
    <t xml:space="preserve">Counts appear in titles, buttons and labels; wrong counts look broken.</t>
  </si>
  <si>
    <t xml:space="preserve">Facet count service</t>
  </si>
  <si>
    <t xml:space="preserve">Counts exclude the facet's own selection (standard faceted semantics).</t>
  </si>
  <si>
    <t xml:space="preserve">Research §6.4 rule 3 — getting this wrong makes multi-select appear broken.</t>
  </si>
  <si>
    <t xml:space="preserve">8.3</t>
  </si>
  <si>
    <t xml:space="preserve">Sorting</t>
  </si>
  <si>
    <t xml:space="preserve">Relevance, price, newest</t>
  </si>
  <si>
    <t xml:space="preserve">Implement sort orders.</t>
  </si>
  <si>
    <t xml:space="preserve">Users distrust results that ignore an explicit sort.</t>
  </si>
  <si>
    <t xml:space="preserve">Sort working</t>
  </si>
  <si>
    <t xml:space="preserve">Explicit sorts are pure — promoted listings never interleave.</t>
  </si>
  <si>
    <t xml:space="preserve">Research §13.5 rule 2.</t>
  </si>
  <si>
    <t xml:space="preserve">8.4</t>
  </si>
  <si>
    <t xml:space="preserve">Relevance ranking v1</t>
  </si>
  <si>
    <t xml:space="preserve">Deterministic scoring</t>
  </si>
  <si>
    <t xml:space="preserve">Score by match quality, freshness and listing completeness.</t>
  </si>
  <si>
    <t xml:space="preserve">Machine learning needs traffic; start with rules you can explain.</t>
  </si>
  <si>
    <t xml:space="preserve">Ranking function</t>
  </si>
  <si>
    <t xml:space="preserve">Ranking is documented and reproducible.</t>
  </si>
  <si>
    <t xml:space="preserve">Research §13.5 gives the formula. No paid boost exists yet in MVP.</t>
  </si>
  <si>
    <t xml:space="preserve">8.5</t>
  </si>
  <si>
    <t xml:space="preserve">Results page (SEO surface)</t>
  </si>
  <si>
    <t xml:space="preserve">Server-rendered landing pages</t>
  </si>
  <si>
    <t xml:space="preserve">Build the indexable results page at pretty URLs.</t>
  </si>
  <si>
    <t xml:space="preserve">This is the main customer-acquisition channel.</t>
  </si>
  <si>
    <t xml:space="preserve">8.1,2.3,3.4</t>
  </si>
  <si>
    <t xml:space="preserve">Landing page route</t>
  </si>
  <si>
    <t xml:space="preserve">Page renders server-side with correct H1, count and content.</t>
  </si>
  <si>
    <t xml:space="preserve">Research §4.2/§16.</t>
  </si>
  <si>
    <t xml:space="preserve">8.6</t>
  </si>
  <si>
    <t xml:space="preserve">Results page (app surface)</t>
  </si>
  <si>
    <t xml:space="preserve">Interactive filtered search</t>
  </si>
  <si>
    <t xml:space="preserve">Build the /search interface with live filtering.</t>
  </si>
  <si>
    <t xml:space="preserve">Different job from the SEO page: state, speed, no page reloads.</t>
  </si>
  <si>
    <t xml:space="preserve">Interactive search</t>
  </si>
  <si>
    <t xml:space="preserve">Filter change updates URL and results without losing scroll.</t>
  </si>
  <si>
    <t xml:space="preserve">Research §6.4 rules 5 and 6. Must be noindex.</t>
  </si>
  <si>
    <t xml:space="preserve">8.7</t>
  </si>
  <si>
    <t xml:space="preserve">Filter state never lost</t>
  </si>
  <si>
    <t xml:space="preserve">State preservation rules</t>
  </si>
  <si>
    <t xml:space="preserve">Guarantee filters, scroll and results survive every interaction and error.</t>
  </si>
  <si>
    <t xml:space="preserve">The incumbent's users specifically complain that filtering throws them back to home.</t>
  </si>
  <si>
    <t xml:space="preserve">State tests passing</t>
  </si>
  <si>
    <t xml:space="preserve">No filter or sort action can navigate away or clear state, even on API error.</t>
  </si>
  <si>
    <t xml:space="preserve">Research §18.2 — this is our clearest differentiation opportunity.</t>
  </si>
  <si>
    <t xml:space="preserve">8.8</t>
  </si>
  <si>
    <t xml:space="preserve">Applied filter chips</t>
  </si>
  <si>
    <t xml:space="preserve">Removable chips in plain language</t>
  </si>
  <si>
    <t xml:space="preserve">Show applied filters as chips with human-readable labels.</t>
  </si>
  <si>
    <t xml:space="preserve">Users must see and undo what they applied.</t>
  </si>
  <si>
    <t xml:space="preserve">Chips working</t>
  </si>
  <si>
    <t xml:space="preserve">Chips read '₹40L–₹60L', not raw parameter values.</t>
  </si>
  <si>
    <t xml:space="preserve">Research §6.4 rule 7.</t>
  </si>
  <si>
    <t xml:space="preserve">8.9</t>
  </si>
  <si>
    <t xml:space="preserve">Pagination (two kinds)</t>
  </si>
  <si>
    <t xml:space="preserve">Path pages + infinite scroll</t>
  </si>
  <si>
    <t xml:space="preserve">Path-based pages for crawlers, infinite scroll for the app surface.</t>
  </si>
  <si>
    <t xml:space="preserve">The research found the incumbent deliberately runs both.</t>
  </si>
  <si>
    <t xml:space="preserve">8.5,8.6</t>
  </si>
  <si>
    <t xml:space="preserve">Both pagination modes</t>
  </si>
  <si>
    <t xml:space="preserve">Crawlable /page/2 exists; app surface scrolls without breaking the footer.</t>
  </si>
  <si>
    <t xml:space="preserve">Research §2.1/§6.1.</t>
  </si>
  <si>
    <t xml:space="preserve">8.10</t>
  </si>
  <si>
    <t xml:space="preserve">Non-linear range sliders</t>
  </si>
  <si>
    <t xml:space="preserve">Budget and area controls</t>
  </si>
  <si>
    <t xml:space="preserve">Make sliders denser where most inventory sits, with exact numeric inputs.</t>
  </si>
  <si>
    <t xml:space="preserve">A linear 0–10cr slider makes the common 40–60L range untouchable.</t>
  </si>
  <si>
    <t xml:space="preserve">3.5,8.6</t>
  </si>
  <si>
    <t xml:space="preserve">Range controls</t>
  </si>
  <si>
    <t xml:space="preserve">The dense band is selectable precisely; numeric entry also works.</t>
  </si>
  <si>
    <t xml:space="preserve">Research §6.4 rule 8.</t>
  </si>
  <si>
    <t xml:space="preserve">8.11</t>
  </si>
  <si>
    <t xml:space="preserve">Zero-result recovery</t>
  </si>
  <si>
    <t xml:space="preserve">Relaxation ladder</t>
  </si>
  <si>
    <t xml:space="preserve">When nothing matches, widen budget, then radius, then config — and say so.</t>
  </si>
  <si>
    <t xml:space="preserve">Property searches are over-constrained constantly.</t>
  </si>
  <si>
    <t xml:space="preserve">8.1,3.7</t>
  </si>
  <si>
    <t xml:space="preserve">Relaxation working</t>
  </si>
  <si>
    <t xml:space="preserve">User is told what was relaxed and can undo it in one tap.</t>
  </si>
  <si>
    <t xml:space="preserve">Research §13.6.</t>
  </si>
  <si>
    <t xml:space="preserve">8.12</t>
  </si>
  <si>
    <t xml:space="preserve">Search result caching</t>
  </si>
  <si>
    <t xml:space="preserve">Cache counts and hot queries</t>
  </si>
  <si>
    <t xml:space="preserve">Cache facet counts and popular queries in Redis.</t>
  </si>
  <si>
    <t xml:space="preserve">Counts are expensive and change slowly.</t>
  </si>
  <si>
    <t xml:space="preserve">Caching layer</t>
  </si>
  <si>
    <t xml:space="preserve">Cached responses meet the search latency budget.</t>
  </si>
  <si>
    <t xml:space="preserve">Research §18.4.</t>
  </si>
  <si>
    <t xml:space="preserve">Phase 9 — Property Detail Page</t>
  </si>
  <si>
    <t xml:space="preserve">9.1</t>
  </si>
  <si>
    <t xml:space="preserve">PDP layout and sections</t>
  </si>
  <si>
    <t xml:space="preserve">Build the detail page</t>
  </si>
  <si>
    <t xml:space="preserve">Build the property page: gallery, header, details, amenities, location, seller.</t>
  </si>
  <si>
    <t xml:space="preserve">Where the buying decision and the lead are made.</t>
  </si>
  <si>
    <t xml:space="preserve">3.4,4.1</t>
  </si>
  <si>
    <t xml:space="preserve">PDP route</t>
  </si>
  <si>
    <t xml:space="preserve">All MVP sections render server-side.</t>
  </si>
  <si>
    <t xml:space="preserve">Research §7.2 gives the section order.</t>
  </si>
  <si>
    <t xml:space="preserve">9.2</t>
  </si>
  <si>
    <t xml:space="preserve">Image gallery</t>
  </si>
  <si>
    <t xml:space="preserve">Swipe, arrows, keyboard, lightbox</t>
  </si>
  <si>
    <t xml:space="preserve">Build the gallery with full accessibility and lazy loading.</t>
  </si>
  <si>
    <t xml:space="preserve">Photos are the most-used element on the page.</t>
  </si>
  <si>
    <t xml:space="preserve">3.3,9.1</t>
  </si>
  <si>
    <t xml:space="preserve">Gallery component</t>
  </si>
  <si>
    <t xml:space="preserve">Keyboard and screen-reader accessible; only first image eager-loaded.</t>
  </si>
  <si>
    <t xml:space="preserve">Research §14.6/§18.4.</t>
  </si>
  <si>
    <t xml:space="preserve">9.3</t>
  </si>
  <si>
    <t xml:space="preserve">Sticky contact module</t>
  </si>
  <si>
    <t xml:space="preserve">Always-reachable CTA</t>
  </si>
  <si>
    <t xml:space="preserve">Sticky right rail on desktop, sticky bottom bar on mobile.</t>
  </si>
  <si>
    <t xml:space="preserve">The user must never scroll into a state with no way to contact.</t>
  </si>
  <si>
    <t xml:space="preserve">Sticky contact</t>
  </si>
  <si>
    <t xml:space="preserve">Contact affordance visible at every scroll position.</t>
  </si>
  <si>
    <t xml:space="preserve">Research §7.2.</t>
  </si>
  <si>
    <t xml:space="preserve">9.4</t>
  </si>
  <si>
    <t xml:space="preserve">Key details grid</t>
  </si>
  <si>
    <t xml:space="preserve">Structured specification block</t>
  </si>
  <si>
    <t xml:space="preserve">Show type, status, floor, facing, age, furnishing, parking, areas.</t>
  </si>
  <si>
    <t xml:space="preserve">These answer the questions that otherwise become wasted phone calls.</t>
  </si>
  <si>
    <t xml:space="preserve">Details grid</t>
  </si>
  <si>
    <t xml:space="preserve">Area basis (carpet/built-up/super) always labelled explicitly.</t>
  </si>
  <si>
    <t xml:space="preserve">Research §12.3.</t>
  </si>
  <si>
    <t xml:space="preserve">9.5</t>
  </si>
  <si>
    <t xml:space="preserve">Static location map</t>
  </si>
  <si>
    <t xml:space="preserve">Show where the property is</t>
  </si>
  <si>
    <t xml:space="preserve">Display a map with the property location and nearby landmarks.</t>
  </si>
  <si>
    <t xml:space="preserve">Location is the primary decision factor.</t>
  </si>
  <si>
    <t xml:space="preserve">6.7,9.1</t>
  </si>
  <si>
    <t xml:space="preserve">Map on PDP</t>
  </si>
  <si>
    <t xml:space="preserve">Map renders without blocking page load.</t>
  </si>
  <si>
    <t xml:space="preserve">IN MVP (research §24 lists a map on the PDP). Interactive MAP SEARCH is a separate, deferred feature.</t>
  </si>
  <si>
    <t xml:space="preserve">9.6</t>
  </si>
  <si>
    <t xml:space="preserve">Location privacy</t>
  </si>
  <si>
    <t xml:space="preserve">Approximate pin for owner listings</t>
  </si>
  <si>
    <t xml:space="preserve">Show an approximate circle rather than an exact pin until contact.</t>
  </si>
  <si>
    <t xml:space="preserve">A safety consideration for residential owner listings.</t>
  </si>
  <si>
    <t xml:space="preserve">Precision setting honoured</t>
  </si>
  <si>
    <t xml:space="preserve">Owner listings render approximate location by default.</t>
  </si>
  <si>
    <t xml:space="preserve">Research §6.5.</t>
  </si>
  <si>
    <t xml:space="preserve">9.7</t>
  </si>
  <si>
    <t xml:space="preserve">Seller card</t>
  </si>
  <si>
    <t xml:space="preserve">Who is advertising</t>
  </si>
  <si>
    <t xml:space="preserve">Show seller type (owner/agent/builder), verification and member-since.</t>
  </si>
  <si>
    <t xml:space="preserve">Posted-by is a top-three buyer filter and a trust signal.</t>
  </si>
  <si>
    <t xml:space="preserve">Seller type is unambiguous on every listing.</t>
  </si>
  <si>
    <t xml:space="preserve">Research §7.1.</t>
  </si>
  <si>
    <t xml:space="preserve">9.8</t>
  </si>
  <si>
    <t xml:space="preserve">Similar properties</t>
  </si>
  <si>
    <t xml:space="preserve">Related listings block</t>
  </si>
  <si>
    <t xml:space="preserve">Show comparable listings by locality, budget and configuration.</t>
  </si>
  <si>
    <t xml:space="preserve">Keeps users on site after they reject a listing.</t>
  </si>
  <si>
    <t xml:space="preserve">8.1,9.1</t>
  </si>
  <si>
    <t xml:space="preserve">Similar block</t>
  </si>
  <si>
    <t xml:space="preserve">Loads asynchronously; never blocks first paint.</t>
  </si>
  <si>
    <t xml:space="preserve">IN MVP per research §24 — but research §23 places it in a later phase. FLAGGED INCONSISTENCY: confirm. See D-14.</t>
  </si>
  <si>
    <t xml:space="preserve">9.9</t>
  </si>
  <si>
    <t xml:space="preserve">Save / shortlist</t>
  </si>
  <si>
    <t xml:space="preserve">Favourite a property</t>
  </si>
  <si>
    <t xml:space="preserve">Let users save listings, with optimistic UI.</t>
  </si>
  <si>
    <t xml:space="preserve">The primary retention action for a months-long decision.</t>
  </si>
  <si>
    <t xml:space="preserve">5.8,9.1</t>
  </si>
  <si>
    <t xml:space="preserve">Save working</t>
  </si>
  <si>
    <t xml:space="preserve">Unauthenticated save prompts login then completes automatically.</t>
  </si>
  <si>
    <t xml:space="preserve">Research §9.1.</t>
  </si>
  <si>
    <t xml:space="preserve">9.10</t>
  </si>
  <si>
    <t xml:space="preserve">Expired listing handling</t>
  </si>
  <si>
    <t xml:space="preserve">410 page with alternatives</t>
  </si>
  <si>
    <t xml:space="preserve">When a listing is gone, serve a useful page rather than a dead end.</t>
  </si>
  <si>
    <t xml:space="preserve">Leaving dead listings indexed is a slow SEO penalty and a bad experience.</t>
  </si>
  <si>
    <t xml:space="preserve">4.4,9.1</t>
  </si>
  <si>
    <t xml:space="preserve">Expired page</t>
  </si>
  <si>
    <t xml:space="preserve">Returns HTTP 410 and shows similar active listings.</t>
  </si>
  <si>
    <t xml:space="preserve">Research §16.5 rule 6.</t>
  </si>
  <si>
    <t xml:space="preserve">Phase 10 — Leads / Enquiry / Contact Reveal</t>
  </si>
  <si>
    <t xml:space="preserve">10.1</t>
  </si>
  <si>
    <t xml:space="preserve">Inquiry data model</t>
  </si>
  <si>
    <t xml:space="preserve">Model the lead explicitly</t>
  </si>
  <si>
    <t xml:space="preserve">Build the INQUIRY entity with an explicit type (enquiry vs contact reveal).</t>
  </si>
  <si>
    <t xml:space="preserve">This is the business. It must be a first-class, countable object from the start.</t>
  </si>
  <si>
    <t xml:space="preserve">INQUIRY table</t>
  </si>
  <si>
    <t xml:space="preserve">Every lead type is recorded with source surface and timestamp.</t>
  </si>
  <si>
    <t xml:space="preserve">Research §12.2 — the incumbent splits 'Queries' from 'Viewed Contact'.</t>
  </si>
  <si>
    <t xml:space="preserve">10.2</t>
  </si>
  <si>
    <t xml:space="preserve">Enquiry form</t>
  </si>
  <si>
    <t xml:space="preserve">Send a message to the seller</t>
  </si>
  <si>
    <t xml:space="preserve">Let a buyer send a written enquiry.</t>
  </si>
  <si>
    <t xml:space="preserve">The lower-friction half of the lead loop.</t>
  </si>
  <si>
    <t xml:space="preserve">10.1,9.3</t>
  </si>
  <si>
    <t xml:space="preserve">Enquiry working</t>
  </si>
  <si>
    <t xml:space="preserve">Enquiry reaches the seller and appears in their inbox.</t>
  </si>
  <si>
    <t xml:space="preserve">10.3</t>
  </si>
  <si>
    <t xml:space="preserve">OTP-gated contact reveal</t>
  </si>
  <si>
    <t xml:space="preserve">Reveal phone after verification</t>
  </si>
  <si>
    <t xml:space="preserve">Require OTP before showing seller contact details.</t>
  </si>
  <si>
    <t xml:space="preserve">Verifies the buyer is real and creates the billable lead event.</t>
  </si>
  <si>
    <t xml:space="preserve">10.1,5.3</t>
  </si>
  <si>
    <t xml:space="preserve">Reveal flow working</t>
  </si>
  <si>
    <t xml:space="preserve">Lead is recorded BEFORE the number is displayed.</t>
  </si>
  <si>
    <t xml:space="preserve">Research §7.2 — this is the monetisable moment.</t>
  </si>
  <si>
    <t xml:space="preserve">10.4</t>
  </si>
  <si>
    <t xml:space="preserve">Duplicate lead prevention</t>
  </si>
  <si>
    <t xml:space="preserve">Deduplicate repeat reveals</t>
  </si>
  <si>
    <t xml:space="preserve">Prevent the same user revealing the same listing repeatedly from creating new billable leads.</t>
  </si>
  <si>
    <t xml:space="preserve">Revenue integrity: double-charging sellers destroys trust in your billing.</t>
  </si>
  <si>
    <t xml:space="preserve">Dedupe key enforced</t>
  </si>
  <si>
    <t xml:space="preserve">Repeat reveal within the window creates no new billable lead.</t>
  </si>
  <si>
    <t xml:space="preserve">Research §12.2/§12.3.</t>
  </si>
  <si>
    <t xml:space="preserve">10.5</t>
  </si>
  <si>
    <t xml:space="preserve">Reveal rate limiting</t>
  </si>
  <si>
    <t xml:space="preserve">Cap reveals per user per day</t>
  </si>
  <si>
    <t xml:space="preserve">Limit how many contacts one account can reveal daily.</t>
  </si>
  <si>
    <t xml:space="preserve">Prevents scraping of seller contact details at scale.</t>
  </si>
  <si>
    <t xml:space="preserve">Limits enforced</t>
  </si>
  <si>
    <t xml:space="preserve">Limit is enforced server-side and logged.</t>
  </si>
  <si>
    <t xml:space="preserve">10.6</t>
  </si>
  <si>
    <t xml:space="preserve">Seller lead inbox</t>
  </si>
  <si>
    <t xml:space="preserve">Where sellers see their leads</t>
  </si>
  <si>
    <t xml:space="preserve">Build the inbox showing buyer name, phone, email and interest.</t>
  </si>
  <si>
    <t xml:space="preserve">Sellers' entire perceived value of the platform lives here.</t>
  </si>
  <si>
    <t xml:space="preserve">10.1,11.1</t>
  </si>
  <si>
    <t xml:space="preserve">Lead inbox</t>
  </si>
  <si>
    <t xml:space="preserve">Leads are listed with status and are filterable by type.</t>
  </si>
  <si>
    <t xml:space="preserve">Research §3.2 observed exactly these fields on the incumbent.</t>
  </si>
  <si>
    <t xml:space="preserve">10.7</t>
  </si>
  <si>
    <t xml:space="preserve">Lead notifications</t>
  </si>
  <si>
    <t xml:space="preserve">Alert the seller immediately</t>
  </si>
  <si>
    <t xml:space="preserve">Notify sellers of new leads by SMS/email/push.</t>
  </si>
  <si>
    <t xml:space="preserve">Response speed is the strongest determinant of lead conversion.</t>
  </si>
  <si>
    <t xml:space="preserve">10.6,4.11</t>
  </si>
  <si>
    <t xml:space="preserve">Notifications sending</t>
  </si>
  <si>
    <t xml:space="preserve">Seller notified within a minute of a lead.</t>
  </si>
  <si>
    <t xml:space="preserve">10.8</t>
  </si>
  <si>
    <t xml:space="preserve">Lead status tracking</t>
  </si>
  <si>
    <t xml:space="preserve">Simple seller CRM</t>
  </si>
  <si>
    <t xml:space="preserve">Let sellers mark leads new/contacted/qualified/closed/lost and add notes.</t>
  </si>
  <si>
    <t xml:space="preserve">Turns a list into a working tool and drives repeat visits.</t>
  </si>
  <si>
    <t xml:space="preserve">Status tracking</t>
  </si>
  <si>
    <t xml:space="preserve">Status and notes persist per lead.</t>
  </si>
  <si>
    <t xml:space="preserve">10.9</t>
  </si>
  <si>
    <t xml:space="preserve">Lead funnel analytics</t>
  </si>
  <si>
    <t xml:space="preserve">Instrument the whole loop</t>
  </si>
  <si>
    <t xml:space="preserve">Record every step: search, card click, PDP view, contact start, OTP, reveal.</t>
  </si>
  <si>
    <t xml:space="preserve">You cannot price or improve what you do not measure.</t>
  </si>
  <si>
    <t xml:space="preserve">10.3,15.1</t>
  </si>
  <si>
    <t xml:space="preserve">Funnel events flowing</t>
  </si>
  <si>
    <t xml:space="preserve">Every funnel step is queryable end to end.</t>
  </si>
  <si>
    <t xml:space="preserve">Research §1.3 point 2 — instrument from day one even though nothing is charged yet.</t>
  </si>
  <si>
    <t xml:space="preserve">10.10</t>
  </si>
  <si>
    <t xml:space="preserve">Contact detail protection</t>
  </si>
  <si>
    <t xml:space="preserve">Prevent off-platform leakage</t>
  </si>
  <si>
    <t xml:space="preserve">Ensure seller contact data is only released through the tracked reveal path.</t>
  </si>
  <si>
    <t xml:space="preserve">Protects both the business model and user privacy.</t>
  </si>
  <si>
    <t xml:space="preserve">No contact leakage</t>
  </si>
  <si>
    <t xml:space="preserve">Contact fields never appear in any API response before reveal.</t>
  </si>
  <si>
    <t xml:space="preserve">Research §17.4. Verify API payloads, not just the UI.</t>
  </si>
  <si>
    <t xml:space="preserve">Phase 11 — User Dashboard</t>
  </si>
  <si>
    <t xml:space="preserve">11.1</t>
  </si>
  <si>
    <t xml:space="preserve">Dashboard shell</t>
  </si>
  <si>
    <t xml:space="preserve">Navigation and layout</t>
  </si>
  <si>
    <t xml:space="preserve">Build the logged-in dashboard container.</t>
  </si>
  <si>
    <t xml:space="preserve">Home base for both buyers and sellers.</t>
  </si>
  <si>
    <t xml:space="preserve">5.8,3.6</t>
  </si>
  <si>
    <t xml:space="preserve">Role-appropriate navigation renders.</t>
  </si>
  <si>
    <t xml:space="preserve">11.2</t>
  </si>
  <si>
    <t xml:space="preserve">My listings</t>
  </si>
  <si>
    <t xml:space="preserve">Seller listing management</t>
  </si>
  <si>
    <t xml:space="preserve">List the seller's listings grouped by lifecycle state.</t>
  </si>
  <si>
    <t xml:space="preserve">Sellers must see what is live, expiring, rejected or under review.</t>
  </si>
  <si>
    <t xml:space="preserve">4.4,11.1</t>
  </si>
  <si>
    <t xml:space="preserve">Listings view</t>
  </si>
  <si>
    <t xml:space="preserve">All lifecycle states visible with a clear next action.</t>
  </si>
  <si>
    <t xml:space="preserve">Research §3.2 observed these states on the incumbent.</t>
  </si>
  <si>
    <t xml:space="preserve">11.3</t>
  </si>
  <si>
    <t xml:space="preserve">Saved properties</t>
  </si>
  <si>
    <t xml:space="preserve">Buyer shortlist</t>
  </si>
  <si>
    <t xml:space="preserve">Show saved listings with removal and notes.</t>
  </si>
  <si>
    <t xml:space="preserve">The buyer-side retention surface.</t>
  </si>
  <si>
    <t xml:space="preserve">9.9,11.1</t>
  </si>
  <si>
    <t xml:space="preserve">Saved view</t>
  </si>
  <si>
    <t xml:space="preserve">Saved listings persist across devices when logged in.</t>
  </si>
  <si>
    <t xml:space="preserve">11.4</t>
  </si>
  <si>
    <t xml:space="preserve">Listing analytics</t>
  </si>
  <si>
    <t xml:space="preserve">Views, saves, contacts per listing</t>
  </si>
  <si>
    <t xml:space="preserve">Show sellers how their listing is performing.</t>
  </si>
  <si>
    <t xml:space="preserve">Demonstrates value and creates the upsell conversation later.</t>
  </si>
  <si>
    <t xml:space="preserve">10.9,11.2</t>
  </si>
  <si>
    <t xml:space="preserve">Per-listing stats</t>
  </si>
  <si>
    <t xml:space="preserve">Counts update daily and match the event data.</t>
  </si>
  <si>
    <t xml:space="preserve">Research §3.2.</t>
  </si>
  <si>
    <t xml:space="preserve">11.5</t>
  </si>
  <si>
    <t xml:space="preserve">Notification preferences</t>
  </si>
  <si>
    <t xml:space="preserve">Control what users receive</t>
  </si>
  <si>
    <t xml:space="preserve">Let users choose channels and frequency.</t>
  </si>
  <si>
    <t xml:space="preserve">Unwanted messages cause unsubscribes and complaints.</t>
  </si>
  <si>
    <t xml:space="preserve">10.7,11.1</t>
  </si>
  <si>
    <t xml:space="preserve">Preference screen</t>
  </si>
  <si>
    <t xml:space="preserve">Preferences are honoured by the notification service.</t>
  </si>
  <si>
    <t xml:space="preserve">Phase 12 — Admin Panel</t>
  </si>
  <si>
    <t xml:space="preserve">12.1</t>
  </si>
  <si>
    <t xml:space="preserve">Admin authentication</t>
  </si>
  <si>
    <t xml:space="preserve">Separate, hardened admin access</t>
  </si>
  <si>
    <t xml:space="preserve">Build admin login with stronger requirements than user login.</t>
  </si>
  <si>
    <t xml:space="preserve">Admin accounts are the highest-value target on the platform.</t>
  </si>
  <si>
    <t xml:space="preserve">Admin auth</t>
  </si>
  <si>
    <t xml:space="preserve">Admin access requires a second factor and is IP-logged.</t>
  </si>
  <si>
    <t xml:space="preserve">Research §17.5. See DECISIONS LOG for 2FA choice.</t>
  </si>
  <si>
    <t xml:space="preserve">12.2</t>
  </si>
  <si>
    <t xml:space="preserve">Admin listing management</t>
  </si>
  <si>
    <t xml:space="preserve">View, edit, approve, reject</t>
  </si>
  <si>
    <t xml:space="preserve">Let admins act on any listing.</t>
  </si>
  <si>
    <t xml:space="preserve">Moderation cannot function without it.</t>
  </si>
  <si>
    <t xml:space="preserve">12.1,4.4</t>
  </si>
  <si>
    <t xml:space="preserve">Admin listing screens</t>
  </si>
  <si>
    <t xml:space="preserve">Admin can approve, reject with reason, and unpublish.</t>
  </si>
  <si>
    <t xml:space="preserve">12.3</t>
  </si>
  <si>
    <t xml:space="preserve">Admin user management</t>
  </si>
  <si>
    <t xml:space="preserve">View and act on accounts</t>
  </si>
  <si>
    <t xml:space="preserve">Search users, view their listings and leads, suspend accounts.</t>
  </si>
  <si>
    <t xml:space="preserve">Needed for abuse handling and support.</t>
  </si>
  <si>
    <t xml:space="preserve">Admin user screens</t>
  </si>
  <si>
    <t xml:space="preserve">Admin can suspend an account and see the effect immediately.</t>
  </si>
  <si>
    <t xml:space="preserve">12.4</t>
  </si>
  <si>
    <t xml:space="preserve">Audit log</t>
  </si>
  <si>
    <t xml:space="preserve">Record every admin action</t>
  </si>
  <si>
    <t xml:space="preserve">Log who did what, to which record, and when — immutably.</t>
  </si>
  <si>
    <t xml:space="preserve">Accountability, dispute resolution and a legal requirement in practice.</t>
  </si>
  <si>
    <t xml:space="preserve">Every admin state change writes an immutable log entry.</t>
  </si>
  <si>
    <t xml:space="preserve">12.5</t>
  </si>
  <si>
    <t xml:space="preserve">Admin dashboard</t>
  </si>
  <si>
    <t xml:space="preserve">Operational overview</t>
  </si>
  <si>
    <t xml:space="preserve">Show queue depth, new listings, reports and lead volume.</t>
  </si>
  <si>
    <t xml:space="preserve">Daily operational awareness in one screen.</t>
  </si>
  <si>
    <t xml:space="preserve">Key operational counters visible and accurate.</t>
  </si>
  <si>
    <t xml:space="preserve">12.6</t>
  </si>
  <si>
    <t xml:space="preserve">Location data admin</t>
  </si>
  <si>
    <t xml:space="preserve">Manage the gazetteer</t>
  </si>
  <si>
    <t xml:space="preserve">Let admins add and correct localities and societies.</t>
  </si>
  <si>
    <t xml:space="preserve">Place data needs continuous correction; it is never finished.</t>
  </si>
  <si>
    <t xml:space="preserve">6.1,12.1</t>
  </si>
  <si>
    <t xml:space="preserve">Location admin</t>
  </si>
  <si>
    <t xml:space="preserve">A new locality can be added and is immediately searchable.</t>
  </si>
  <si>
    <t xml:space="preserve">Phase 13 — Moderation &amp; Trust</t>
  </si>
  <si>
    <t xml:space="preserve">13.1</t>
  </si>
  <si>
    <t xml:space="preserve">Moderation queue</t>
  </si>
  <si>
    <t xml:space="preserve">Human review workflow</t>
  </si>
  <si>
    <t xml:space="preserve">Build the queue where listings awaiting screening are reviewed.</t>
  </si>
  <si>
    <t xml:space="preserve">The incumbent screens listings before publication; quality depends on it.</t>
  </si>
  <si>
    <t xml:space="preserve">Reviewer can approve or reject with a specific reason.</t>
  </si>
  <si>
    <t xml:space="preserve">Research §8.1 observed the 'under screening' state.</t>
  </si>
  <si>
    <t xml:space="preserve">13.2</t>
  </si>
  <si>
    <t xml:space="preserve">Automated pre-checks</t>
  </si>
  <si>
    <t xml:space="preserve">Machine checks before human review</t>
  </si>
  <si>
    <t xml:space="preserve">Run duplicate detection, contact-info detection and price sanity automatically.</t>
  </si>
  <si>
    <t xml:space="preserve">Humans should only see what machines cannot decide.</t>
  </si>
  <si>
    <t xml:space="preserve">13.1,7.7,7.9</t>
  </si>
  <si>
    <t xml:space="preserve">Auto-check pipeline</t>
  </si>
  <si>
    <t xml:space="preserve">High-confidence listings auto-approve; the rest queue.</t>
  </si>
  <si>
    <t xml:space="preserve">13.3</t>
  </si>
  <si>
    <t xml:space="preserve">Rejection reasons</t>
  </si>
  <si>
    <t xml:space="preserve">Specific, actionable feedback</t>
  </si>
  <si>
    <t xml:space="preserve">Give sellers a precise reason and a path to fix and resubmit.</t>
  </si>
  <si>
    <t xml:space="preserve">'Rejected' with no reason generates support load and churn.</t>
  </si>
  <si>
    <t xml:space="preserve">Reason catalogue</t>
  </si>
  <si>
    <t xml:space="preserve">Every rejection carries a specific reason and a fix action.</t>
  </si>
  <si>
    <t xml:space="preserve">13.4</t>
  </si>
  <si>
    <t xml:space="preserve">Report listing</t>
  </si>
  <si>
    <t xml:space="preserve">User abuse reporting</t>
  </si>
  <si>
    <t xml:space="preserve">Let any user report a listing from the card and the detail page.</t>
  </si>
  <si>
    <t xml:space="preserve">Your users are your largest moderation workforce.</t>
  </si>
  <si>
    <t xml:space="preserve">9.1,13.1</t>
  </si>
  <si>
    <t xml:space="preserve">Reporting working</t>
  </si>
  <si>
    <t xml:space="preserve">Reports enter the moderation queue with an SLA timer.</t>
  </si>
  <si>
    <t xml:space="preserve">13.5</t>
  </si>
  <si>
    <t xml:space="preserve">Photo verification (tier 1)</t>
  </si>
  <si>
    <t xml:space="preserve">Guided on-site photo capture</t>
  </si>
  <si>
    <t xml:space="preserve">Let sellers verify by capturing live, geo-stamped photos at the property.</t>
  </si>
  <si>
    <t xml:space="preserve">The trust badge that buyers value most.</t>
  </si>
  <si>
    <t xml:space="preserve">7.5,13.1</t>
  </si>
  <si>
    <t xml:space="preserve">Verification flow</t>
  </si>
  <si>
    <t xml:space="preserve">Captured photo location matches the listing pin within tolerance.</t>
  </si>
  <si>
    <t xml:space="preserve">Research §17.2 — tiered verification. MVP does TIER 1 ONLY.</t>
  </si>
  <si>
    <t xml:space="preserve">13.6</t>
  </si>
  <si>
    <t xml:space="preserve">Scope the trust badge honestly</t>
  </si>
  <si>
    <t xml:space="preserve">Label exactly what is verified</t>
  </si>
  <si>
    <t xml:space="preserve">State precisely what the badge proves — and what it does not.</t>
  </si>
  <si>
    <t xml:space="preserve">The incumbent's own Terms limit their badge to existence and genuine photos, not ownership or price. Overclaiming creates liability.</t>
  </si>
  <si>
    <t xml:space="preserve">Badge wording + tooltip</t>
  </si>
  <si>
    <t xml:space="preserve">Badge scope is visible on hover/tap; never a bare 'Verified'.</t>
  </si>
  <si>
    <t xml:space="preserve">Research §17.2 — the most transferable trust insight in the research.</t>
  </si>
  <si>
    <t xml:space="preserve">13.7</t>
  </si>
  <si>
    <t xml:space="preserve">Owner vs agent detection</t>
  </si>
  <si>
    <t xml:space="preserve">Anti-gaming signals</t>
  </si>
  <si>
    <t xml:space="preserve">Detect agents posing as owners using volume, phone reuse and image reuse.</t>
  </si>
  <si>
    <t xml:space="preserve">'Posted by owner' carries a trust premium that agents will try to claim.</t>
  </si>
  <si>
    <t xml:space="preserve">Detection + appeal path</t>
  </si>
  <si>
    <t xml:space="preserve">Reclassification is appealable with human review.</t>
  </si>
  <si>
    <t xml:space="preserve">Research §17.3 — the incumbent visibly does this.</t>
  </si>
  <si>
    <t xml:space="preserve">13.8</t>
  </si>
  <si>
    <t xml:space="preserve">Stale listing expiry</t>
  </si>
  <si>
    <t xml:space="preserve">Automatic expiry and renewal prompts</t>
  </si>
  <si>
    <t xml:space="preserve">Expire listings after a set period unless the seller confirms availability.</t>
  </si>
  <si>
    <t xml:space="preserve">Dead listings are the category's biggest trust problem and our stated differentiator.</t>
  </si>
  <si>
    <t xml:space="preserve">4.4,7.13</t>
  </si>
  <si>
    <t xml:space="preserve">Expiry job</t>
  </si>
  <si>
    <t xml:space="preserve">Listings expire on schedule; sellers are prompted beforehand.</t>
  </si>
  <si>
    <t xml:space="preserve">Research §20.5 point 2.</t>
  </si>
  <si>
    <t xml:space="preserve">Phase 14 — SEO &amp; Programmatic Pages</t>
  </si>
  <si>
    <t xml:space="preserve">14.1</t>
  </si>
  <si>
    <t xml:space="preserve">Implement SEO URL routes</t>
  </si>
  <si>
    <t xml:space="preserve">Build the pretty-URL routes</t>
  </si>
  <si>
    <t xml:space="preserve">Implement the route structure agreed in Phase 2.</t>
  </si>
  <si>
    <t xml:space="preserve">The primary acquisition channel; must be right before any page is indexed.</t>
  </si>
  <si>
    <t xml:space="preserve">2.2,8.5</t>
  </si>
  <si>
    <t xml:space="preserve">Routes live</t>
  </si>
  <si>
    <t xml:space="preserve">Every indexable page resolves at its final URL.</t>
  </si>
  <si>
    <t xml:space="preserve">Research §16.5. Changing URLs after indexing costs ranking.</t>
  </si>
  <si>
    <t xml:space="preserve">14.2</t>
  </si>
  <si>
    <t xml:space="preserve">Canonical tags</t>
  </si>
  <si>
    <t xml:space="preserve">One canonical URL per page</t>
  </si>
  <si>
    <t xml:space="preserve">Set canonical tags so filtered variants point to their cleanest form.</t>
  </si>
  <si>
    <t xml:space="preserve">Prevents duplicate-content dilution across thousands of filter combinations.</t>
  </si>
  <si>
    <t xml:space="preserve">Canonicals correct</t>
  </si>
  <si>
    <t xml:space="preserve">Each variant declares the intended canonical.</t>
  </si>
  <si>
    <t xml:space="preserve">Research §16.5 rule 2 — where most property portals generate index bloat.</t>
  </si>
  <si>
    <t xml:space="preserve">14.3</t>
  </si>
  <si>
    <t xml:space="preserve">Index / noindex strategy</t>
  </si>
  <si>
    <t xml:space="preserve">Decide what search engines may index</t>
  </si>
  <si>
    <t xml:space="preserve">Allowlist which filter combinations are indexable; noindex everything else.</t>
  </si>
  <si>
    <t xml:space="preserve">Uncontrolled indexation of every filter combination causes demotion.</t>
  </si>
  <si>
    <t xml:space="preserve">Indexation rules</t>
  </si>
  <si>
    <t xml:space="preserve">The /search app surface is noindex; allowlist enforced.</t>
  </si>
  <si>
    <t xml:space="preserve">Research §16.5 rules 1–2.</t>
  </si>
  <si>
    <t xml:space="preserve">14.4</t>
  </si>
  <si>
    <t xml:space="preserve">Thin-content gating</t>
  </si>
  <si>
    <t xml:space="preserve">Minimum inventory to be indexable</t>
  </si>
  <si>
    <t xml:space="preserve">Only allow a landing page to be indexed above an inventory threshold.</t>
  </si>
  <si>
    <t xml:space="preserve">Thousands of near-empty pages are an SEO liability, not an asset.</t>
  </si>
  <si>
    <t xml:space="preserve">Gating rule live</t>
  </si>
  <si>
    <t xml:space="preserve">Pages below threshold are noindex and link to their parent.</t>
  </si>
  <si>
    <t xml:space="preserve">Research §16.5 rule 3 proposes ≥5 active listings. Threshold: DECISION REQUIRED.</t>
  </si>
  <si>
    <t xml:space="preserve">14.5</t>
  </si>
  <si>
    <t xml:space="preserve">Dynamic titles and metadata</t>
  </si>
  <si>
    <t xml:space="preserve">Templated titles with live counts</t>
  </si>
  <si>
    <t xml:space="preserve">Generate titles including current inventory counts.</t>
  </si>
  <si>
    <t xml:space="preserve">Observed on the incumbent; improves click-through and signals freshness.</t>
  </si>
  <si>
    <t xml:space="preserve">14.1,8.2</t>
  </si>
  <si>
    <t xml:space="preserve">Title templates</t>
  </si>
  <si>
    <t xml:space="preserve">Counts come from cache; fallback never renders '0+'.</t>
  </si>
  <si>
    <t xml:space="preserve">Research §16.2 — confirmed technique.</t>
  </si>
  <si>
    <t xml:space="preserve">14.6</t>
  </si>
  <si>
    <t xml:space="preserve">Structured data (JSON-LD)</t>
  </si>
  <si>
    <t xml:space="preserve">Machine-readable page data</t>
  </si>
  <si>
    <t xml:space="preserve">Add schema.org markup per page type.</t>
  </si>
  <si>
    <t xml:space="preserve">Enables rich results and helps search engines understand the content.</t>
  </si>
  <si>
    <t xml:space="preserve">JSON-LD on all page types</t>
  </si>
  <si>
    <t xml:space="preserve">Markup validates in Google's Rich Results Test.</t>
  </si>
  <si>
    <t xml:space="preserve">Research §16.5 rule 4 lists the types per page.</t>
  </si>
  <si>
    <t xml:space="preserve">14.7</t>
  </si>
  <si>
    <t xml:space="preserve">Breadcrumbs</t>
  </si>
  <si>
    <t xml:space="preserve">Visible + marked-up navigation</t>
  </si>
  <si>
    <t xml:space="preserve">Add breadcrumbs mirroring the location hierarchy.</t>
  </si>
  <si>
    <t xml:space="preserve">Helps users orient and search engines understand structure.</t>
  </si>
  <si>
    <t xml:space="preserve">14.1,6.1</t>
  </si>
  <si>
    <t xml:space="preserve">Breadcrumbs live</t>
  </si>
  <si>
    <t xml:space="preserve">Visible on every page and marked up.</t>
  </si>
  <si>
    <t xml:space="preserve">Research §16.5 rule 8.</t>
  </si>
  <si>
    <t xml:space="preserve">14.8</t>
  </si>
  <si>
    <t xml:space="preserve">XML sitemaps</t>
  </si>
  <si>
    <t xml:space="preserve">Segmented sitemap index</t>
  </si>
  <si>
    <t xml:space="preserve">Generate sitemaps split by content type, regenerated nightly.</t>
  </si>
  <si>
    <t xml:space="preserve">How search engines discover pages at scale.</t>
  </si>
  <si>
    <t xml:space="preserve">Sitemaps live</t>
  </si>
  <si>
    <t xml:space="preserve">≤50k URLs per file; accurate lastmod; expired listings removed.</t>
  </si>
  <si>
    <t xml:space="preserve">Research §16.5 rule 5.</t>
  </si>
  <si>
    <t xml:space="preserve">14.9</t>
  </si>
  <si>
    <t xml:space="preserve">robots.txt</t>
  </si>
  <si>
    <t xml:space="preserve">Crawler directives</t>
  </si>
  <si>
    <t xml:space="preserve">Write robots.txt and reference the sitemap index.</t>
  </si>
  <si>
    <t xml:space="preserve">Controls crawl budget.</t>
  </si>
  <si>
    <t xml:space="preserve">robots.txt live</t>
  </si>
  <si>
    <t xml:space="preserve">Does not block anything present in the sitemap.</t>
  </si>
  <si>
    <t xml:space="preserve">14.10</t>
  </si>
  <si>
    <t xml:space="preserve">Internal linking clusters</t>
  </si>
  <si>
    <t xml:space="preserve">Generated related links</t>
  </si>
  <si>
    <t xml:space="preserve">Add nearby-locality, budget-band and config links to every landing page.</t>
  </si>
  <si>
    <t xml:space="preserve">Distributes ranking authority into the long tail automatically.</t>
  </si>
  <si>
    <t xml:space="preserve">Link clusters live</t>
  </si>
  <si>
    <t xml:space="preserve">Generated from the gazetteer, not hand-written.</t>
  </si>
  <si>
    <t xml:space="preserve">Research §16.5 rule 9.</t>
  </si>
  <si>
    <t xml:space="preserve">14.11</t>
  </si>
  <si>
    <t xml:space="preserve">Image SEO</t>
  </si>
  <si>
    <t xml:space="preserve">Alt text and filenames</t>
  </si>
  <si>
    <t xml:space="preserve">Generate meaningful alt text from listing attributes.</t>
  </si>
  <si>
    <t xml:space="preserve">Image search is a real traffic source; also an accessibility requirement.</t>
  </si>
  <si>
    <t xml:space="preserve">Alt text generated</t>
  </si>
  <si>
    <t xml:space="preserve">Alt reads '3 BHK living room, New Town' not 'image1'.</t>
  </si>
  <si>
    <t xml:space="preserve">Research §14.11.</t>
  </si>
  <si>
    <t xml:space="preserve">14.12</t>
  </si>
  <si>
    <t xml:space="preserve">Search Console setup</t>
  </si>
  <si>
    <t xml:space="preserve">Verify and monitor</t>
  </si>
  <si>
    <t xml:space="preserve">Set up Google Search Console and monitor coverage and Core Web Vitals.</t>
  </si>
  <si>
    <t xml:space="preserve">How you find out indexation is broken.</t>
  </si>
  <si>
    <t xml:space="preserve">14.8,19.5</t>
  </si>
  <si>
    <t xml:space="preserve">Search Console verified</t>
  </si>
  <si>
    <t xml:space="preserve">Sitemaps submitted; coverage report reviewed weekly.</t>
  </si>
  <si>
    <t xml:space="preserve">14.13</t>
  </si>
  <si>
    <t xml:space="preserve">Programmatic landing matrix</t>
  </si>
  <si>
    <t xml:space="preserve">Generate pages at scale</t>
  </si>
  <si>
    <t xml:space="preserve">Generate the city × type × budget × config page matrix from the gazetteer.</t>
  </si>
  <si>
    <t xml:space="preserve">The research shows this is the incumbent's core acquisition machine.</t>
  </si>
  <si>
    <t xml:space="preserve">14.4,14.10</t>
  </si>
  <si>
    <t xml:space="preserve">Matrix generator</t>
  </si>
  <si>
    <t xml:space="preserve">Pages generated and governed by the thin-content gate.</t>
  </si>
  <si>
    <t xml:space="preserve">PHASE 14+ / POST-MVP scale-up. Generate the matrix, but govern it. Research §2.3/§16.5.</t>
  </si>
  <si>
    <t xml:space="preserve">Phase 15 — Analytics &amp; Tracking</t>
  </si>
  <si>
    <t xml:space="preserve">15.1</t>
  </si>
  <si>
    <t xml:space="preserve">Event tracking foundation</t>
  </si>
  <si>
    <t xml:space="preserve">Define and capture events</t>
  </si>
  <si>
    <t xml:space="preserve">Define the event schema and capture events server-side.</t>
  </si>
  <si>
    <t xml:space="preserve">Owning your funnel data is non-negotiable for a lead business.</t>
  </si>
  <si>
    <t xml:space="preserve">Event pipeline</t>
  </si>
  <si>
    <t xml:space="preserve">Events captured with user, session and surface context.</t>
  </si>
  <si>
    <t xml:space="preserve">Research §22 — start this alongside Phase 10, not after it.</t>
  </si>
  <si>
    <t xml:space="preserve">15.2</t>
  </si>
  <si>
    <t xml:space="preserve">Funnel dashboards</t>
  </si>
  <si>
    <t xml:space="preserve">Visualise the lead funnel</t>
  </si>
  <si>
    <t xml:space="preserve">Build reporting for search → PDP → contact → reveal.</t>
  </si>
  <si>
    <t xml:space="preserve">Tells you which step is leaking.</t>
  </si>
  <si>
    <t xml:space="preserve">15.1,10.9</t>
  </si>
  <si>
    <t xml:space="preserve">Funnel dashboard</t>
  </si>
  <si>
    <t xml:space="preserve">Each MVP success metric is visible as a number.</t>
  </si>
  <si>
    <t xml:space="preserve">Research §24 success criteria.</t>
  </si>
  <si>
    <t xml:space="preserve">15.3</t>
  </si>
  <si>
    <t xml:space="preserve">Web analytics</t>
  </si>
  <si>
    <t xml:space="preserve">Install analytics tooling</t>
  </si>
  <si>
    <t xml:space="preserve">Add page-level analytics alongside the event pipeline.</t>
  </si>
  <si>
    <t xml:space="preserve">Traffic sources and landing-page performance.</t>
  </si>
  <si>
    <t xml:space="preserve">Analytics live</t>
  </si>
  <si>
    <t xml:space="preserve">Traffic by source and landing page is visible.</t>
  </si>
  <si>
    <t xml:space="preserve">See DECISIONS LOG D-10.</t>
  </si>
  <si>
    <t xml:space="preserve">15.4</t>
  </si>
  <si>
    <t xml:space="preserve">Error monitoring</t>
  </si>
  <si>
    <t xml:space="preserve">Capture and alert on errors</t>
  </si>
  <si>
    <t xml:space="preserve">Install error tracking for frontend and backend.</t>
  </si>
  <si>
    <t xml:space="preserve">You cannot fix errors you never hear about.</t>
  </si>
  <si>
    <t xml:space="preserve">Error tracking live</t>
  </si>
  <si>
    <t xml:space="preserve">Errors alert with stack trace and request context.</t>
  </si>
  <si>
    <t xml:space="preserve">Research §18.4 — alert specifically on filter/sort errors.</t>
  </si>
  <si>
    <t xml:space="preserve">15.5</t>
  </si>
  <si>
    <t xml:space="preserve">Search quality monitoring</t>
  </si>
  <si>
    <t xml:space="preserve">Track zero-result and abandonment</t>
  </si>
  <si>
    <t xml:space="preserve">Monitor searches returning nothing and searches abandoned.</t>
  </si>
  <si>
    <t xml:space="preserve">Direct signal of catalogue gaps and filter problems.</t>
  </si>
  <si>
    <t xml:space="preserve">15.1,8.11</t>
  </si>
  <si>
    <t xml:space="preserve">Search quality report</t>
  </si>
  <si>
    <t xml:space="preserve">Zero-result rate tracked by city and filter combination.</t>
  </si>
  <si>
    <t xml:space="preserve">15.6</t>
  </si>
  <si>
    <t xml:space="preserve">Real user performance monitoring</t>
  </si>
  <si>
    <t xml:space="preserve">Field Core Web Vitals</t>
  </si>
  <si>
    <t xml:space="preserve">Collect real-user performance data segmented by device and city.</t>
  </si>
  <si>
    <t xml:space="preserve">Lab tests do not reflect users on mid-range phones.</t>
  </si>
  <si>
    <t xml:space="preserve">16.1</t>
  </si>
  <si>
    <t xml:space="preserve">RUM live</t>
  </si>
  <si>
    <t xml:space="preserve">Field LCP/CLS/INP visible at p75.</t>
  </si>
  <si>
    <t xml:space="preserve">Phase 16 — Performance Optimization</t>
  </si>
  <si>
    <t xml:space="preserve">Set performance budgets</t>
  </si>
  <si>
    <t xml:space="preserve">Agree hard limits</t>
  </si>
  <si>
    <t xml:space="preserve">Adopt the numeric budgets and wire them into CI.</t>
  </si>
  <si>
    <t xml:space="preserve">Performance debt compounds; retrofitting speed is far more expensive.</t>
  </si>
  <si>
    <t xml:space="preserve">Budgets in CI config</t>
  </si>
  <si>
    <t xml:space="preserve">Build fails when a budget is breached.</t>
  </si>
  <si>
    <t xml:space="preserve">Research §18.3 — see the PERFORMANCE sheet for exact numbers.</t>
  </si>
  <si>
    <t xml:space="preserve">16.2</t>
  </si>
  <si>
    <t xml:space="preserve">Image optimisation</t>
  </si>
  <si>
    <t xml:space="preserve">Modern formats and sizing</t>
  </si>
  <si>
    <t xml:space="preserve">Serve AVIF/WebP with responsive sizes and correct lazy loading.</t>
  </si>
  <si>
    <t xml:space="preserve">Images are the dominant byte cost in this product.</t>
  </si>
  <si>
    <t xml:space="preserve">7.6,9.2</t>
  </si>
  <si>
    <t xml:space="preserve">Image pipeline optimised</t>
  </si>
  <si>
    <t xml:space="preserve">First card image eager with high priority; rest lazy.</t>
  </si>
  <si>
    <t xml:space="preserve">16.3</t>
  </si>
  <si>
    <t xml:space="preserve">Prevent layout shift</t>
  </si>
  <si>
    <t xml:space="preserve">Reserve space for all media</t>
  </si>
  <si>
    <t xml:space="preserve">Set explicit aspect ratios on every image and media box.</t>
  </si>
  <si>
    <t xml:space="preserve">Layout shift is the most irritating and most preventable defect.</t>
  </si>
  <si>
    <t xml:space="preserve">CLS within budget</t>
  </si>
  <si>
    <t xml:space="preserve">CLS ≤ 0.05 on results and detail pages.</t>
  </si>
  <si>
    <t xml:space="preserve">Research §18.3.</t>
  </si>
  <si>
    <t xml:space="preserve">16.4</t>
  </si>
  <si>
    <t xml:space="preserve">JavaScript budget</t>
  </si>
  <si>
    <t xml:space="preserve">Code splitting and deferral</t>
  </si>
  <si>
    <t xml:space="preserve">Split by route; load heavy libraries only where used.</t>
  </si>
  <si>
    <t xml:space="preserve">Every kilobyte costs time on mid-range Android phones.</t>
  </si>
  <si>
    <t xml:space="preserve">JS within budget</t>
  </si>
  <si>
    <t xml:space="preserve">Search route JS ≤180KB gzip.</t>
  </si>
  <si>
    <t xml:space="preserve">Research §18.4 — the map library is typically the largest dependency.</t>
  </si>
  <si>
    <t xml:space="preserve">16.5</t>
  </si>
  <si>
    <t xml:space="preserve">Caching strategy</t>
  </si>
  <si>
    <t xml:space="preserve">Edge, application and HTTP caching</t>
  </si>
  <si>
    <t xml:space="preserve">Cache landing HTML at the edge; cache counts and hot data in Redis.</t>
  </si>
  <si>
    <t xml:space="preserve">The cheapest performance win available.</t>
  </si>
  <si>
    <t xml:space="preserve">Caching live</t>
  </si>
  <si>
    <t xml:space="preserve">Cache hit rates measured; stale-while-revalidate configured.</t>
  </si>
  <si>
    <t xml:space="preserve">16.6</t>
  </si>
  <si>
    <t xml:space="preserve">Database query tuning</t>
  </si>
  <si>
    <t xml:space="preserve">Find and fix slow queries</t>
  </si>
  <si>
    <t xml:space="preserve">Profile slow queries and add or correct indexes.</t>
  </si>
  <si>
    <t xml:space="preserve">Search latency degrades non-linearly as data grows.</t>
  </si>
  <si>
    <t xml:space="preserve">8.1,4.6</t>
  </si>
  <si>
    <t xml:space="preserve">Query performance</t>
  </si>
  <si>
    <t xml:space="preserve">Search API p95 ≤300ms at expected data volume.</t>
  </si>
  <si>
    <t xml:space="preserve">16.7</t>
  </si>
  <si>
    <t xml:space="preserve">Synthetic performance tests</t>
  </si>
  <si>
    <t xml:space="preserve">Lighthouse in CI</t>
  </si>
  <si>
    <t xml:space="preserve">Run automated performance tests on representative routes.</t>
  </si>
  <si>
    <t xml:space="preserve">Catches regressions before users do.</t>
  </si>
  <si>
    <t xml:space="preserve">CI performance gate</t>
  </si>
  <si>
    <t xml:space="preserve">Five representative routes tested on every main-branch build.</t>
  </si>
  <si>
    <t xml:space="preserve">Phase 17 — Security</t>
  </si>
  <si>
    <t xml:space="preserve">17.1</t>
  </si>
  <si>
    <t xml:space="preserve">Input validation everywhere</t>
  </si>
  <si>
    <t xml:space="preserve">Validate on the server</t>
  </si>
  <si>
    <t xml:space="preserve">Validate and sanitise every input server-side, never trusting the client.</t>
  </si>
  <si>
    <t xml:space="preserve">Client-side validation is a convenience, not a control.</t>
  </si>
  <si>
    <t xml:space="preserve">Validation layer</t>
  </si>
  <si>
    <t xml:space="preserve">Every endpoint rejects malformed input with a clear error.</t>
  </si>
  <si>
    <t xml:space="preserve">See SECURITY CHECKLIST sheet.</t>
  </si>
  <si>
    <t xml:space="preserve">17.2</t>
  </si>
  <si>
    <t xml:space="preserve">Authorization tests</t>
  </si>
  <si>
    <t xml:space="preserve">Prove role boundaries</t>
  </si>
  <si>
    <t xml:space="preserve">Test that each role cannot access what it should not.</t>
  </si>
  <si>
    <t xml:space="preserve">Broken access control is the most common serious web vulnerability.</t>
  </si>
  <si>
    <t xml:space="preserve">Authorization test suite</t>
  </si>
  <si>
    <t xml:space="preserve">Cross-role access attempts fail in automated tests.</t>
  </si>
  <si>
    <t xml:space="preserve">17.3</t>
  </si>
  <si>
    <t xml:space="preserve">File upload security</t>
  </si>
  <si>
    <t xml:space="preserve">Validate uploads</t>
  </si>
  <si>
    <t xml:space="preserve">Enforce type, size and content checks; never trust filenames or declared types.</t>
  </si>
  <si>
    <t xml:space="preserve">Uploads are a classic attack vector.</t>
  </si>
  <si>
    <t xml:space="preserve">4.10,7.5</t>
  </si>
  <si>
    <t xml:space="preserve">Upload controls</t>
  </si>
  <si>
    <t xml:space="preserve">Non-image content is rejected even when renamed.</t>
  </si>
  <si>
    <t xml:space="preserve">17.4</t>
  </si>
  <si>
    <t xml:space="preserve">Rate limiting</t>
  </si>
  <si>
    <t xml:space="preserve">Protect expensive endpoints</t>
  </si>
  <si>
    <t xml:space="preserve">Rate-limit search, OTP, contact reveal and uploads per IP and per account.</t>
  </si>
  <si>
    <t xml:space="preserve">Protects cost, data and availability.</t>
  </si>
  <si>
    <t xml:space="preserve">5.4,10.5</t>
  </si>
  <si>
    <t xml:space="preserve">Rate limits live</t>
  </si>
  <si>
    <t xml:space="preserve">Limits enforced and observable in monitoring.</t>
  </si>
  <si>
    <t xml:space="preserve">17.5</t>
  </si>
  <si>
    <t xml:space="preserve">XSS protection</t>
  </si>
  <si>
    <t xml:space="preserve">Escape all user content</t>
  </si>
  <si>
    <t xml:space="preserve">Ensure user-supplied text can never execute as code.</t>
  </si>
  <si>
    <t xml:space="preserve">Listing descriptions are user-supplied and rendered publicly.</t>
  </si>
  <si>
    <t xml:space="preserve">XSS controls</t>
  </si>
  <si>
    <t xml:space="preserve">Script payloads in descriptions render as inert text.</t>
  </si>
  <si>
    <t xml:space="preserve">17.6</t>
  </si>
  <si>
    <t xml:space="preserve">SQL injection protection</t>
  </si>
  <si>
    <t xml:space="preserve">Parameterised queries only</t>
  </si>
  <si>
    <t xml:space="preserve">Use parameterised queries or an ORM everywhere; never string-concatenate SQL.</t>
  </si>
  <si>
    <t xml:space="preserve">Still one of the most damaging vulnerabilities.</t>
  </si>
  <si>
    <t xml:space="preserve">No dynamic SQL</t>
  </si>
  <si>
    <t xml:space="preserve">Code review confirms no concatenated SQL.</t>
  </si>
  <si>
    <t xml:space="preserve">17.7</t>
  </si>
  <si>
    <t xml:space="preserve">Security headers</t>
  </si>
  <si>
    <t xml:space="preserve">CSP, HSTS and friends</t>
  </si>
  <si>
    <t xml:space="preserve">Configure Content-Security-Policy, HSTS and related headers.</t>
  </si>
  <si>
    <t xml:space="preserve">Cheap, high-value defence in depth.</t>
  </si>
  <si>
    <t xml:space="preserve">19.3</t>
  </si>
  <si>
    <t xml:space="preserve">Headers configured</t>
  </si>
  <si>
    <t xml:space="preserve">Headers verified by an external scanner.</t>
  </si>
  <si>
    <t xml:space="preserve">17.8</t>
  </si>
  <si>
    <t xml:space="preserve">Secrets management</t>
  </si>
  <si>
    <t xml:space="preserve">No secrets in code</t>
  </si>
  <si>
    <t xml:space="preserve">Store secrets in a managed secret store with rotation.</t>
  </si>
  <si>
    <t xml:space="preserve">Leaked credentials are among the most damaging incidents.</t>
  </si>
  <si>
    <t xml:space="preserve">Secrets externalised</t>
  </si>
  <si>
    <t xml:space="preserve">No secret in Git history; rotation documented.</t>
  </si>
  <si>
    <t xml:space="preserve">17.9</t>
  </si>
  <si>
    <t xml:space="preserve">PII protection</t>
  </si>
  <si>
    <t xml:space="preserve">Protect personal data</t>
  </si>
  <si>
    <t xml:space="preserve">Encrypt personal data at rest; restrict and log access to lead data.</t>
  </si>
  <si>
    <t xml:space="preserve">Legal obligation and the highest-value data you hold.</t>
  </si>
  <si>
    <t xml:space="preserve">0.6,10.1</t>
  </si>
  <si>
    <t xml:space="preserve">PII controls</t>
  </si>
  <si>
    <t xml:space="preserve">Lead data access is least-privilege and fully audited.</t>
  </si>
  <si>
    <t xml:space="preserve">17.10</t>
  </si>
  <si>
    <t xml:space="preserve">Security review</t>
  </si>
  <si>
    <t xml:space="preserve">Independent check before launch</t>
  </si>
  <si>
    <t xml:space="preserve">Have someone other than the builder review the security posture.</t>
  </si>
  <si>
    <t xml:space="preserve">You cannot review your own blind spots.</t>
  </si>
  <si>
    <t xml:space="preserve">17.1-17.9</t>
  </si>
  <si>
    <t xml:space="preserve">Security review report</t>
  </si>
  <si>
    <t xml:space="preserve">All critical and high findings resolved before launch.</t>
  </si>
  <si>
    <t xml:space="preserve">Phase 18 — Testing &amp; QA</t>
  </si>
  <si>
    <t xml:space="preserve">18.1</t>
  </si>
  <si>
    <t xml:space="preserve">Testing strategy</t>
  </si>
  <si>
    <t xml:space="preserve">Decide what to test and how</t>
  </si>
  <si>
    <t xml:space="preserve">Agree the mix of unit, integration and end-to-end tests.</t>
  </si>
  <si>
    <t xml:space="preserve">Testing everything is impossible; testing nothing is fatal.</t>
  </si>
  <si>
    <t xml:space="preserve">Test strategy document</t>
  </si>
  <si>
    <t xml:space="preserve">Written strategy with coverage expectations.</t>
  </si>
  <si>
    <t xml:space="preserve">See TESTING &amp; QA sheet.</t>
  </si>
  <si>
    <t xml:space="preserve">18.2</t>
  </si>
  <si>
    <t xml:space="preserve">Unit tests</t>
  </si>
  <si>
    <t xml:space="preserve">Test business logic</t>
  </si>
  <si>
    <t xml:space="preserve">Test pricing, quota, ranking, validation and state transitions.</t>
  </si>
  <si>
    <t xml:space="preserve">These are where silent logic errors hide.</t>
  </si>
  <si>
    <t xml:space="preserve">Unit test suite</t>
  </si>
  <si>
    <t xml:space="preserve">Core business rules covered; suite runs in CI.</t>
  </si>
  <si>
    <t xml:space="preserve">18.3</t>
  </si>
  <si>
    <t xml:space="preserve">API integration tests</t>
  </si>
  <si>
    <t xml:space="preserve">Test endpoints against a real database</t>
  </si>
  <si>
    <t xml:space="preserve">Test each endpoint with a real database and real auth.</t>
  </si>
  <si>
    <t xml:space="preserve">Catches the integration errors unit tests cannot.</t>
  </si>
  <si>
    <t xml:space="preserve">18.1,4.7</t>
  </si>
  <si>
    <t xml:space="preserve">API test suite</t>
  </si>
  <si>
    <t xml:space="preserve">All MVP endpoints covered including failure cases.</t>
  </si>
  <si>
    <t xml:space="preserve">18.4</t>
  </si>
  <si>
    <t xml:space="preserve">End-to-end tests</t>
  </si>
  <si>
    <t xml:space="preserve">Test the critical journeys</t>
  </si>
  <si>
    <t xml:space="preserve">Automate the journeys in the USER FLOWS sheet.</t>
  </si>
  <si>
    <t xml:space="preserve">These are the flows that must never break.</t>
  </si>
  <si>
    <t xml:space="preserve">18.1,10.3</t>
  </si>
  <si>
    <t xml:space="preserve">E2E suite</t>
  </si>
  <si>
    <t xml:space="preserve">Search, post, contact and moderation journeys pass automatically.</t>
  </si>
  <si>
    <t xml:space="preserve">18.5</t>
  </si>
  <si>
    <t xml:space="preserve">Search and filter tests</t>
  </si>
  <si>
    <t xml:space="preserve">Prove filter correctness</t>
  </si>
  <si>
    <t xml:space="preserve">Test filter combinations, counts, sort purity and state preservation.</t>
  </si>
  <si>
    <t xml:space="preserve">The incumbent's most-complained-about area; our differentiator.</t>
  </si>
  <si>
    <t xml:space="preserve">8.7,18.1</t>
  </si>
  <si>
    <t xml:space="preserve">Search test suite</t>
  </si>
  <si>
    <t xml:space="preserve">Filter change never loses state; counts verified correct.</t>
  </si>
  <si>
    <t xml:space="preserve">Research §18.2.</t>
  </si>
  <si>
    <t xml:space="preserve">18.6</t>
  </si>
  <si>
    <t xml:space="preserve">Responsive and device testing</t>
  </si>
  <si>
    <t xml:space="preserve">Test on real devices</t>
  </si>
  <si>
    <t xml:space="preserve">Test on real mid-range Android and iOS devices, not just a resized browser.</t>
  </si>
  <si>
    <t xml:space="preserve">Emulators hide real performance and touch problems.</t>
  </si>
  <si>
    <t xml:space="preserve">Device test report</t>
  </si>
  <si>
    <t xml:space="preserve">Key journeys verified on at least one real low/mid-range Android.</t>
  </si>
  <si>
    <t xml:space="preserve">18.7</t>
  </si>
  <si>
    <t xml:space="preserve">Accessibility testing</t>
  </si>
  <si>
    <t xml:space="preserve">Automated + manual checks</t>
  </si>
  <si>
    <t xml:space="preserve">Run automated checks and test keyboard and screen-reader journeys.</t>
  </si>
  <si>
    <t xml:space="preserve">Automated tools catch only a fraction of real issues.</t>
  </si>
  <si>
    <t xml:space="preserve">Accessibility report</t>
  </si>
  <si>
    <t xml:space="preserve">Search and contact journeys completable by keyboard alone.</t>
  </si>
  <si>
    <t xml:space="preserve">18.8</t>
  </si>
  <si>
    <t xml:space="preserve">Cross-browser testing</t>
  </si>
  <si>
    <t xml:space="preserve">Test the main browsers</t>
  </si>
  <si>
    <t xml:space="preserve">Verify on Chrome, Safari, Firefox and Edge.</t>
  </si>
  <si>
    <t xml:space="preserve">Safari in particular behaves differently.</t>
  </si>
  <si>
    <t xml:space="preserve">Browser matrix signed off</t>
  </si>
  <si>
    <t xml:space="preserve">No blocking defect in any supported browser.</t>
  </si>
  <si>
    <t xml:space="preserve">18.9</t>
  </si>
  <si>
    <t xml:space="preserve">Load testing</t>
  </si>
  <si>
    <t xml:space="preserve">Test under realistic traffic</t>
  </si>
  <si>
    <t xml:space="preserve">Simulate expected peak load against search and detail pages.</t>
  </si>
  <si>
    <t xml:space="preserve">Finds the breaking point before users do.</t>
  </si>
  <si>
    <t xml:space="preserve">Load test report</t>
  </si>
  <si>
    <t xml:space="preserve">System holds latency budgets at projected peak.</t>
  </si>
  <si>
    <t xml:space="preserve">18.10</t>
  </si>
  <si>
    <t xml:space="preserve">User acceptance testing</t>
  </si>
  <si>
    <t xml:space="preserve">Real people, real tasks</t>
  </si>
  <si>
    <t xml:space="preserve">Have real owners and buyers attempt the core tasks while you watch.</t>
  </si>
  <si>
    <t xml:space="preserve">Reveals confusion no automated test can.</t>
  </si>
  <si>
    <t xml:space="preserve">UAT findings log</t>
  </si>
  <si>
    <t xml:space="preserve">At least 5 external users complete posting and search unaided.</t>
  </si>
  <si>
    <t xml:space="preserve">The posting flow target is ≤8 minutes on mobile (research §24).</t>
  </si>
  <si>
    <t xml:space="preserve">Phase 19 — Deployment</t>
  </si>
  <si>
    <t xml:space="preserve">19.1</t>
  </si>
  <si>
    <t xml:space="preserve">Provision environments</t>
  </si>
  <si>
    <t xml:space="preserve">Dev, staging, production</t>
  </si>
  <si>
    <t xml:space="preserve">Create three isolated environments with separate data.</t>
  </si>
  <si>
    <t xml:space="preserve">Never test on production data.</t>
  </si>
  <si>
    <t xml:space="preserve">Three environments</t>
  </si>
  <si>
    <t xml:space="preserve">Staging mirrors production configuration.</t>
  </si>
  <si>
    <t xml:space="preserve">19.2</t>
  </si>
  <si>
    <t xml:space="preserve">Infrastructure as code</t>
  </si>
  <si>
    <t xml:space="preserve">Reproducible infrastructure</t>
  </si>
  <si>
    <t xml:space="preserve">Define infrastructure in code rather than clicking consoles.</t>
  </si>
  <si>
    <t xml:space="preserve">Makes environments reproducible and recoverable.</t>
  </si>
  <si>
    <t xml:space="preserve">IaC repository</t>
  </si>
  <si>
    <t xml:space="preserve">An environment can be rebuilt from code.</t>
  </si>
  <si>
    <t xml:space="preserve">Research §22 proposes Terraform. Can be deferred if it delays launch — record the decision.</t>
  </si>
  <si>
    <t xml:space="preserve">Domain, DNS and SSL</t>
  </si>
  <si>
    <t xml:space="preserve">Make the site reachable and secure</t>
  </si>
  <si>
    <t xml:space="preserve">Configure the domain, DNS records and TLS certificates.</t>
  </si>
  <si>
    <t xml:space="preserve">Required before anything is publicly usable.</t>
  </si>
  <si>
    <t xml:space="preserve">0.7,19.1</t>
  </si>
  <si>
    <t xml:space="preserve">Domain live over HTTPS</t>
  </si>
  <si>
    <t xml:space="preserve">HTTPS works, HTTP redirects, certificate auto-renews.</t>
  </si>
  <si>
    <t xml:space="preserve">19.4</t>
  </si>
  <si>
    <t xml:space="preserve">CDN configuration</t>
  </si>
  <si>
    <t xml:space="preserve">Edge caching and protection</t>
  </si>
  <si>
    <t xml:space="preserve">Configure the CDN for assets, HTML caching and basic protection.</t>
  </si>
  <si>
    <t xml:space="preserve">Performance and resilience.</t>
  </si>
  <si>
    <t xml:space="preserve">CDN live</t>
  </si>
  <si>
    <t xml:space="preserve">Static assets served from edge with correct cache headers.</t>
  </si>
  <si>
    <t xml:space="preserve">19.5</t>
  </si>
  <si>
    <t xml:space="preserve">Deployment pipeline</t>
  </si>
  <si>
    <t xml:space="preserve">Automated deploys</t>
  </si>
  <si>
    <t xml:space="preserve">Automate deployment to staging and production.</t>
  </si>
  <si>
    <t xml:space="preserve">Manual deploys are where outages come from.</t>
  </si>
  <si>
    <t xml:space="preserve">1.9,19.1</t>
  </si>
  <si>
    <t xml:space="preserve">CD pipeline</t>
  </si>
  <si>
    <t xml:space="preserve">A merge to main deploys to staging automatically.</t>
  </si>
  <si>
    <t xml:space="preserve">19.6</t>
  </si>
  <si>
    <t xml:space="preserve">Database migration process</t>
  </si>
  <si>
    <t xml:space="preserve">Safe schema changes in production</t>
  </si>
  <si>
    <t xml:space="preserve">Define how migrations run at deploy time, including rollback.</t>
  </si>
  <si>
    <t xml:space="preserve">A failed migration can take the whole site down.</t>
  </si>
  <si>
    <t xml:space="preserve">4.2,19.5</t>
  </si>
  <si>
    <t xml:space="preserve">Migration process</t>
  </si>
  <si>
    <t xml:space="preserve">Migrations run automatically and can be rolled back.</t>
  </si>
  <si>
    <t xml:space="preserve">19.7</t>
  </si>
  <si>
    <t xml:space="preserve">Backups and restore drill</t>
  </si>
  <si>
    <t xml:space="preserve">Prove you can recover</t>
  </si>
  <si>
    <t xml:space="preserve">Configure automated backups and actually practise a restore.</t>
  </si>
  <si>
    <t xml:space="preserve">An untested backup is not a backup.</t>
  </si>
  <si>
    <t xml:space="preserve">Restore drill completed</t>
  </si>
  <si>
    <t xml:space="preserve">A real restore to a clean environment has been performed.</t>
  </si>
  <si>
    <t xml:space="preserve">Do not skip the drill. This is the item most often assumed and never verified.</t>
  </si>
  <si>
    <t xml:space="preserve">19.8</t>
  </si>
  <si>
    <t xml:space="preserve">Monitoring and alerting</t>
  </si>
  <si>
    <t xml:space="preserve">Know when something breaks</t>
  </si>
  <si>
    <t xml:space="preserve">Set up uptime, latency and error-rate alerts with someone receiving them.</t>
  </si>
  <si>
    <t xml:space="preserve">Alerts nobody receives are decoration.</t>
  </si>
  <si>
    <t xml:space="preserve">15.4,19.5</t>
  </si>
  <si>
    <t xml:space="preserve">Alerts configured</t>
  </si>
  <si>
    <t xml:space="preserve">A simulated outage produces an alert to a real person.</t>
  </si>
  <si>
    <t xml:space="preserve">19.9</t>
  </si>
  <si>
    <t xml:space="preserve">Logging</t>
  </si>
  <si>
    <t xml:space="preserve">Centralised, searchable logs</t>
  </si>
  <si>
    <t xml:space="preserve">Aggregate application logs with request IDs.</t>
  </si>
  <si>
    <t xml:space="preserve">You cannot debug production without logs.</t>
  </si>
  <si>
    <t xml:space="preserve">4.8,19.1</t>
  </si>
  <si>
    <t xml:space="preserve">Log aggregation</t>
  </si>
  <si>
    <t xml:space="preserve">A request can be traced end to end by its ID.</t>
  </si>
  <si>
    <t xml:space="preserve">19.10</t>
  </si>
  <si>
    <t xml:space="preserve">Rollback procedure</t>
  </si>
  <si>
    <t xml:space="preserve">Undo a bad deploy fast</t>
  </si>
  <si>
    <t xml:space="preserve">Document and test how to revert to the previous version.</t>
  </si>
  <si>
    <t xml:space="preserve">Speed of recovery matters more than avoiding every failure.</t>
  </si>
  <si>
    <t xml:space="preserve">Rollback tested</t>
  </si>
  <si>
    <t xml:space="preserve">A rollback has been performed successfully on staging.</t>
  </si>
  <si>
    <t xml:space="preserve">19.11</t>
  </si>
  <si>
    <t xml:space="preserve">Disaster recovery plan</t>
  </si>
  <si>
    <t xml:space="preserve">Plan for the worst case</t>
  </si>
  <si>
    <t xml:space="preserve">Document recovery objectives and the steps to restore service.</t>
  </si>
  <si>
    <t xml:space="preserve">Decide this calmly now, not during an incident.</t>
  </si>
  <si>
    <t xml:space="preserve">DR plan document</t>
  </si>
  <si>
    <t xml:space="preserve">Written RTO/RPO with named steps and owners.</t>
  </si>
  <si>
    <t xml:space="preserve">Phase 20 — Production Launch</t>
  </si>
  <si>
    <t xml:space="preserve">20.1</t>
  </si>
  <si>
    <t xml:space="preserve">Legal pages live</t>
  </si>
  <si>
    <t xml:space="preserve">Terms, privacy, disclaimers</t>
  </si>
  <si>
    <t xml:space="preserve">Publish reviewed T&amp;C, privacy policy, cookie notice and listing disclaimers.</t>
  </si>
  <si>
    <t xml:space="preserve">Legally required before accepting user data.</t>
  </si>
  <si>
    <t xml:space="preserve">Legal pages published</t>
  </si>
  <si>
    <t xml:space="preserve">Reviewed by a lawyer and linked from every page.</t>
  </si>
  <si>
    <t xml:space="preserve">Research §17.5 — include the honest verification-scope disclaimer.</t>
  </si>
  <si>
    <t xml:space="preserve">20.2</t>
  </si>
  <si>
    <t xml:space="preserve">Seed launch inventory</t>
  </si>
  <si>
    <t xml:space="preserve">Load the first listings</t>
  </si>
  <si>
    <t xml:space="preserve">Reach the minimum listing count before opening to buyers.</t>
  </si>
  <si>
    <t xml:space="preserve">An empty marketplace fails its first impression permanently.</t>
  </si>
  <si>
    <t xml:space="preserve">0.8,7.12</t>
  </si>
  <si>
    <t xml:space="preserve">Launch inventory live</t>
  </si>
  <si>
    <t xml:space="preserve">Target listing count met across the launch cities.</t>
  </si>
  <si>
    <t xml:space="preserve">Research §24 proposes ≥2,000 listings across 3 cities.</t>
  </si>
  <si>
    <t xml:space="preserve">20.3</t>
  </si>
  <si>
    <t xml:space="preserve">Pre-launch checklist</t>
  </si>
  <si>
    <t xml:space="preserve">Work through every item</t>
  </si>
  <si>
    <t xml:space="preserve">Complete the LAUNCH CHECKLIST sheet.</t>
  </si>
  <si>
    <t xml:space="preserve">Catches the small omissions that embarrass a launch.</t>
  </si>
  <si>
    <t xml:space="preserve">18.10,19.11</t>
  </si>
  <si>
    <t xml:space="preserve">Signed-off checklist</t>
  </si>
  <si>
    <t xml:space="preserve">Every launch checklist item is DONE or consciously DEFERRED.</t>
  </si>
  <si>
    <t xml:space="preserve">See LAUNCH CHECKLIST sheet.</t>
  </si>
  <si>
    <t xml:space="preserve">20.4</t>
  </si>
  <si>
    <t xml:space="preserve">Production smoke tests</t>
  </si>
  <si>
    <t xml:space="preserve">Verify the live site</t>
  </si>
  <si>
    <t xml:space="preserve">Run the critical journeys against production after deploy.</t>
  </si>
  <si>
    <t xml:space="preserve">Staging passing does not prove production works.</t>
  </si>
  <si>
    <t xml:space="preserve">Smoke test pass</t>
  </si>
  <si>
    <t xml:space="preserve">Post, search, contact and OTP verified on production.</t>
  </si>
  <si>
    <t xml:space="preserve">20.5</t>
  </si>
  <si>
    <t xml:space="preserve">Soft launch</t>
  </si>
  <si>
    <t xml:space="preserve">Limited release first</t>
  </si>
  <si>
    <t xml:space="preserve">Open to a small audience before any public announcement.</t>
  </si>
  <si>
    <t xml:space="preserve">Finds real-world problems at low reputational cost.</t>
  </si>
  <si>
    <t xml:space="preserve">Soft launch completed</t>
  </si>
  <si>
    <t xml:space="preserve">Issues from the limited release triaged and resolved.</t>
  </si>
  <si>
    <t xml:space="preserve">20.6</t>
  </si>
  <si>
    <t xml:space="preserve">Public launch</t>
  </si>
  <si>
    <t xml:space="preserve">Open and announce</t>
  </si>
  <si>
    <t xml:space="preserve">Remove restrictions and begin acquisition.</t>
  </si>
  <si>
    <t xml:space="preserve">The point of everything above.</t>
  </si>
  <si>
    <t xml:space="preserve">Site publicly live</t>
  </si>
  <si>
    <t xml:space="preserve">Site is open, monitored and staffed for support.</t>
  </si>
  <si>
    <t xml:space="preserve">20.7</t>
  </si>
  <si>
    <t xml:space="preserve">Launch monitoring window</t>
  </si>
  <si>
    <t xml:space="preserve">Watch closely for 72 hours</t>
  </si>
  <si>
    <t xml:space="preserve">Have someone actively watching errors, performance and leads.</t>
  </si>
  <si>
    <t xml:space="preserve">Launch problems appear in the first hours.</t>
  </si>
  <si>
    <t xml:space="preserve">20.6,19.8</t>
  </si>
  <si>
    <t xml:space="preserve">Monitoring log</t>
  </si>
  <si>
    <t xml:space="preserve">72-hour watch completed with issues logged.</t>
  </si>
  <si>
    <t xml:space="preserve">Phase 21 — Post-launch Improvements</t>
  </si>
  <si>
    <t xml:space="preserve">21.1</t>
  </si>
  <si>
    <t xml:space="preserve">Triage launch feedback</t>
  </si>
  <si>
    <t xml:space="preserve">Collect and prioritise</t>
  </si>
  <si>
    <t xml:space="preserve">Gather user feedback and support issues into one prioritised list.</t>
  </si>
  <si>
    <t xml:space="preserve">Real users find what testing missed.</t>
  </si>
  <si>
    <t xml:space="preserve">Prioritised issue list</t>
  </si>
  <si>
    <t xml:space="preserve">Every reported issue triaged with a severity.</t>
  </si>
  <si>
    <t xml:space="preserve">21.2</t>
  </si>
  <si>
    <t xml:space="preserve">Fix critical defects</t>
  </si>
  <si>
    <t xml:space="preserve">Immediate fixes</t>
  </si>
  <si>
    <t xml:space="preserve">Fix anything blocking the core journeys.</t>
  </si>
  <si>
    <t xml:space="preserve">Broken core journeys destroy early word of mouth.</t>
  </si>
  <si>
    <t xml:space="preserve">Defects resolved</t>
  </si>
  <si>
    <t xml:space="preserve">No open critical defect on a core journey.</t>
  </si>
  <si>
    <t xml:space="preserve">21.3</t>
  </si>
  <si>
    <t xml:space="preserve">Measure against targets</t>
  </si>
  <si>
    <t xml:space="preserve">Compare to success metrics</t>
  </si>
  <si>
    <t xml:space="preserve">Check actual numbers against the launch targets.</t>
  </si>
  <si>
    <t xml:space="preserve">Tells you whether to optimise or to change direction.</t>
  </si>
  <si>
    <t xml:space="preserve">15.2,20.7</t>
  </si>
  <si>
    <t xml:space="preserve">Metrics review</t>
  </si>
  <si>
    <t xml:space="preserve">Each MVP success metric reported as met or missed.</t>
  </si>
  <si>
    <t xml:space="preserve">Research §24.</t>
  </si>
  <si>
    <t xml:space="preserve">21.4</t>
  </si>
  <si>
    <t xml:space="preserve">Improve listing quality</t>
  </si>
  <si>
    <t xml:space="preserve">Act on duplicate and staleness data</t>
  </si>
  <si>
    <t xml:space="preserve">Tune duplicate detection and expiry based on real data.</t>
  </si>
  <si>
    <t xml:space="preserve">Our stated differentiator; needs real data to tune.</t>
  </si>
  <si>
    <t xml:space="preserve">13.2,13.8</t>
  </si>
  <si>
    <t xml:space="preserve">Quality metrics improved</t>
  </si>
  <si>
    <t xml:space="preserve">Duplicate rate in results below target.</t>
  </si>
  <si>
    <t xml:space="preserve">Research §24 target: &lt;2%.</t>
  </si>
  <si>
    <t xml:space="preserve">21.5</t>
  </si>
  <si>
    <t xml:space="preserve">Conversion optimisation</t>
  </si>
  <si>
    <t xml:space="preserve">Fix the weakest funnel step</t>
  </si>
  <si>
    <t xml:space="preserve">Improve whichever funnel step is furthest from target.</t>
  </si>
  <si>
    <t xml:space="preserve">Focused effort beats broad tinkering.</t>
  </si>
  <si>
    <t xml:space="preserve">Funnel improvement</t>
  </si>
  <si>
    <t xml:space="preserve">Measurable improvement in the targeted step.</t>
  </si>
  <si>
    <t xml:space="preserve">21.6</t>
  </si>
  <si>
    <t xml:space="preserve">SEO indexation review</t>
  </si>
  <si>
    <t xml:space="preserve">Check what actually got indexed</t>
  </si>
  <si>
    <t xml:space="preserve">Review coverage, fix crawl errors and thin pages.</t>
  </si>
  <si>
    <t xml:space="preserve">Indexation problems are invisible without checking.</t>
  </si>
  <si>
    <t xml:space="preserve">Coverage report reviewed</t>
  </si>
  <si>
    <t xml:space="preserve">Indexed page count matches intent; errors resolved.</t>
  </si>
  <si>
    <t xml:space="preserve">Phase 22 — Mobile App Preparation</t>
  </si>
  <si>
    <t xml:space="preserve">22.1</t>
  </si>
  <si>
    <t xml:space="preserve">Decide PWA vs native</t>
  </si>
  <si>
    <t xml:space="preserve">Choose the mobile strategy</t>
  </si>
  <si>
    <t xml:space="preserve">Decide whether to improve the web app or build native apps.</t>
  </si>
  <si>
    <t xml:space="preserve">Native apps are two more codebases with release cycles; the decision is expensive either way.</t>
  </si>
  <si>
    <t xml:space="preserve">Decision recorded with the evidence behind it.</t>
  </si>
  <si>
    <t xml:space="preserve">Research §20.3 suggests a PWA covers v1. See DECISIONS LOG D-15. Do not decide before launch data exists.</t>
  </si>
  <si>
    <t xml:space="preserve">22.2</t>
  </si>
  <si>
    <t xml:space="preserve">Progressive Web App</t>
  </si>
  <si>
    <t xml:space="preserve">Installable web app</t>
  </si>
  <si>
    <t xml:space="preserve">Add a manifest, service worker and offline shell.</t>
  </si>
  <si>
    <t xml:space="preserve">Gets most app benefits without a second codebase.</t>
  </si>
  <si>
    <t xml:space="preserve">PWA installable</t>
  </si>
  <si>
    <t xml:space="preserve">App installs to home screen and opens offline shell.</t>
  </si>
  <si>
    <t xml:space="preserve">PROPOSED as the step before native.</t>
  </si>
  <si>
    <t xml:space="preserve">22.3</t>
  </si>
  <si>
    <t xml:space="preserve">Mobile push notifications</t>
  </si>
  <si>
    <t xml:space="preserve">Web push for leads and alerts</t>
  </si>
  <si>
    <t xml:space="preserve">Enable push for lead alerts and saved-search matches.</t>
  </si>
  <si>
    <t xml:space="preserve">Lead response speed is the seller's core value.</t>
  </si>
  <si>
    <t xml:space="preserve">22.2,10.7</t>
  </si>
  <si>
    <t xml:space="preserve">Push working</t>
  </si>
  <si>
    <t xml:space="preserve">Seller receives a push within a minute of a lead.</t>
  </si>
  <si>
    <t xml:space="preserve">22.4</t>
  </si>
  <si>
    <t xml:space="preserve">API readiness for mobile</t>
  </si>
  <si>
    <t xml:space="preserve">Stabilise and version the API</t>
  </si>
  <si>
    <t xml:space="preserve">Ensure the API is versioned and documented well enough for a separate client.</t>
  </si>
  <si>
    <t xml:space="preserve">A native app is just another API consumer; the API must be ready first.</t>
  </si>
  <si>
    <t xml:space="preserve">Versioned API + docs</t>
  </si>
  <si>
    <t xml:space="preserve">API documented and versioned; breaking changes have a policy.</t>
  </si>
  <si>
    <t xml:space="preserve">22.5</t>
  </si>
  <si>
    <t xml:space="preserve">Mobile analytics plan</t>
  </si>
  <si>
    <t xml:space="preserve">Define app-specific events</t>
  </si>
  <si>
    <t xml:space="preserve">Plan how app usage will be measured.</t>
  </si>
  <si>
    <t xml:space="preserve">App funnels differ from web funnels.</t>
  </si>
  <si>
    <t xml:space="preserve">15.1,22.1</t>
  </si>
  <si>
    <t xml:space="preserve">Mobile event plan</t>
  </si>
  <si>
    <t xml:space="preserve">Event schema extended for app surfaces.</t>
  </si>
  <si>
    <t xml:space="preserve">Phase 23 — Native Mobile App</t>
  </si>
  <si>
    <t xml:space="preserve">23.1</t>
  </si>
  <si>
    <t xml:space="preserve">Choose mobile technology</t>
  </si>
  <si>
    <t xml:space="preserve">Native, React Native or Flutter</t>
  </si>
  <si>
    <t xml:space="preserve">Choose the mobile implementation approach.</t>
  </si>
  <si>
    <t xml:space="preserve">Determines cost, team and long-term maintenance.</t>
  </si>
  <si>
    <t xml:space="preserve">Decision recorded with cost and team implications.</t>
  </si>
  <si>
    <t xml:space="preserve">DECISION REQUIRED. Do not decide until 22.1 is settled with real data.</t>
  </si>
  <si>
    <t xml:space="preserve">23.2</t>
  </si>
  <si>
    <t xml:space="preserve">Mobile app design</t>
  </si>
  <si>
    <t xml:space="preserve">Adapt the design system</t>
  </si>
  <si>
    <t xml:space="preserve">Adapt components to platform conventions.</t>
  </si>
  <si>
    <t xml:space="preserve">Web patterns transplanted directly feel wrong on mobile.</t>
  </si>
  <si>
    <t xml:space="preserve">23.1,3.1</t>
  </si>
  <si>
    <t xml:space="preserve">Mobile design system</t>
  </si>
  <si>
    <t xml:space="preserve">Key screens designed for both platforms.</t>
  </si>
  <si>
    <t xml:space="preserve">23.3</t>
  </si>
  <si>
    <t xml:space="preserve">Build core app screens</t>
  </si>
  <si>
    <t xml:space="preserve">Search, detail, save, contact</t>
  </si>
  <si>
    <t xml:space="preserve">Build the buyer journey in the app.</t>
  </si>
  <si>
    <t xml:space="preserve">The highest-volume app use case.</t>
  </si>
  <si>
    <t xml:space="preserve">23.2,22.4</t>
  </si>
  <si>
    <t xml:space="preserve">App buyer journey</t>
  </si>
  <si>
    <t xml:space="preserve">Buyer can search, view and contact from the app.</t>
  </si>
  <si>
    <t xml:space="preserve">23.4</t>
  </si>
  <si>
    <t xml:space="preserve">In-app posting and verification</t>
  </si>
  <si>
    <t xml:space="preserve">Seller flows with camera</t>
  </si>
  <si>
    <t xml:space="preserve">Build posting and the guided photo-verification capture.</t>
  </si>
  <si>
    <t xml:space="preserve">Verification genuinely needs a camera; this is the app's strongest justification.</t>
  </si>
  <si>
    <t xml:space="preserve">23.3,13.5</t>
  </si>
  <si>
    <t xml:space="preserve">App seller flows</t>
  </si>
  <si>
    <t xml:space="preserve">Seller can post and verify from the app.</t>
  </si>
  <si>
    <t xml:space="preserve">Research §17.2 — the incumbent's verification is app-based for this reason.</t>
  </si>
  <si>
    <t xml:space="preserve">23.5</t>
  </si>
  <si>
    <t xml:space="preserve">App store release</t>
  </si>
  <si>
    <t xml:space="preserve">Publish to stores</t>
  </si>
  <si>
    <t xml:space="preserve">Prepare listings, screenshots, privacy declarations and submit.</t>
  </si>
  <si>
    <t xml:space="preserve">Store review takes time and can reject; plan for iterations.</t>
  </si>
  <si>
    <t xml:space="preserve">Apps published</t>
  </si>
  <si>
    <t xml:space="preserve">Both apps live and installable.</t>
  </si>
  <si>
    <t xml:space="preserve">23.6</t>
  </si>
  <si>
    <t xml:space="preserve">App release process</t>
  </si>
  <si>
    <t xml:space="preserve">Versioning and staged rollout</t>
  </si>
  <si>
    <t xml:space="preserve">Define how updates ship, including staged rollout and forced upgrade.</t>
  </si>
  <si>
    <t xml:space="preserve">Mobile users do not all update; you must support older versions.</t>
  </si>
  <si>
    <t xml:space="preserve">Release process</t>
  </si>
  <si>
    <t xml:space="preserve">Staged rollout and minimum-version enforcement working.</t>
  </si>
  <si>
    <t xml:space="preserve">PHASES — the whole project at a glance</t>
  </si>
  <si>
    <t xml:space="preserve">Progress is calculated automatically from the MASTER ROADMAP sheet. Do the phases roughly in order: later phases depend on earlier ones.</t>
  </si>
  <si>
    <t xml:space="preserve">Phase Name</t>
  </si>
  <si>
    <t xml:space="preserve">Objective</t>
  </si>
  <si>
    <t xml:space="preserve">Main Deliverables</t>
  </si>
  <si>
    <t xml:space="preserve">Dependencies</t>
  </si>
  <si>
    <t xml:space="preserve">Estimated Duration</t>
  </si>
  <si>
    <t xml:space="preserve">Completion %</t>
  </si>
  <si>
    <t xml:space="preserve">Understand the market and decide exactly what to build.</t>
  </si>
  <si>
    <t xml:space="preserve">Research spec; business-model statement; launch scope; MVP boundary; success metrics; legal review; supply plan</t>
  </si>
  <si>
    <t xml:space="preserve">2–3 weeks</t>
  </si>
  <si>
    <t xml:space="preserve">Get a working, version-controlled, automatically-checked codebase.</t>
  </si>
  <si>
    <t xml:space="preserve">Repository; branch policy; scaffolds; linting; CI; local Docker setup</t>
  </si>
  <si>
    <t xml:space="preserve">Phase 0</t>
  </si>
  <si>
    <t xml:space="preserve">1–2 weeks</t>
  </si>
  <si>
    <t xml:space="preserve">Decide the shape of the system before building any of it.</t>
  </si>
  <si>
    <t xml:space="preserve">Module map; URL architecture; rendering strategy; filter object; ID strategy; architecture document</t>
  </si>
  <si>
    <t xml:space="preserve">Phase 1</t>
  </si>
  <si>
    <t xml:space="preserve">Build an original, consistent, accessible visual language.</t>
  </si>
  <si>
    <t xml:space="preserve">Design tokens; component library; property card; search UI; states; responsive rules; wireframes</t>
  </si>
  <si>
    <t xml:space="preserve">3–4 weeks</t>
  </si>
  <si>
    <t xml:space="preserve">Create the data model and the backend skeleton.</t>
  </si>
  <si>
    <t xml:space="preserve">Schema v1; migrations; seed data; indexes; API conventions; object storage; job queue</t>
  </si>
  <si>
    <t xml:space="preserve">Phase 2</t>
  </si>
  <si>
    <t xml:space="preserve">Let people register and log in securely by phone.</t>
  </si>
  <si>
    <t xml:space="preserve">OTP login; sessions; roles; authorization; profile; account deletion</t>
  </si>
  <si>
    <t xml:space="preserve">Phase 4</t>
  </si>
  <si>
    <t xml:space="preserve">2 weeks</t>
  </si>
  <si>
    <t xml:space="preserve">Build the place hierarchy everything else depends on.</t>
  </si>
  <si>
    <t xml:space="preserve">Gazetteer; aliases; slugs; typeahead; PostGIS; property-type and amenity taxonomies</t>
  </si>
  <si>
    <t xml:space="preserve">Let an owner list a property from a phone in under 8 minutes.</t>
  </si>
  <si>
    <t xml:space="preserve">Posting wizard; autosave; media pipeline; sanitisation; completeness score; publish + quota</t>
  </si>
  <si>
    <t xml:space="preserve">Phases 5, 6</t>
  </si>
  <si>
    <t xml:space="preserve">Let buyers find what they want, fast, without losing state.</t>
  </si>
  <si>
    <t xml:space="preserve">Search service; facets; sorting; ranking; both result surfaces; pagination; zero-result recovery</t>
  </si>
  <si>
    <t xml:space="preserve">Phases 6, 7</t>
  </si>
  <si>
    <t xml:space="preserve">Answer the buyer's questions and lead them to contact.</t>
  </si>
  <si>
    <t xml:space="preserve">PDP; gallery; sticky contact; details; static map; seller card; save</t>
  </si>
  <si>
    <t xml:space="preserve">Phases 3, 8</t>
  </si>
  <si>
    <t xml:space="preserve">Close the loop: deliver a measured lead to the seller.</t>
  </si>
  <si>
    <t xml:space="preserve">Inquiry model; enquiry form; OTP reveal; dedupe; rate limits; lead inbox; notifications; funnel events</t>
  </si>
  <si>
    <t xml:space="preserve">Phases 5, 9</t>
  </si>
  <si>
    <t xml:space="preserve">Give both sides a home base.</t>
  </si>
  <si>
    <t xml:space="preserve">Dashboard shell; my listings; saved properties; listing analytics; notification preferences</t>
  </si>
  <si>
    <t xml:space="preserve">Phases 7, 10</t>
  </si>
  <si>
    <t xml:space="preserve">Give operators the tools to run the marketplace.</t>
  </si>
  <si>
    <t xml:space="preserve">Admin auth; listing and user management; audit log; admin dashboard; location admin</t>
  </si>
  <si>
    <t xml:space="preserve">Phase 5</t>
  </si>
  <si>
    <t xml:space="preserve">Keep listing quality high and users safe.</t>
  </si>
  <si>
    <t xml:space="preserve">Moderation queue; automated pre-checks; rejection reasons; reporting; verification tier 1; expiry</t>
  </si>
  <si>
    <t xml:space="preserve">Phase 12</t>
  </si>
  <si>
    <t xml:space="preserve">Turn the URL architecture into an acquisition channel.</t>
  </si>
  <si>
    <t xml:space="preserve">SEO routes; canonicals; indexation rules; thin-content gate; metadata; JSON-LD; sitemaps; internal links</t>
  </si>
  <si>
    <t xml:space="preserve">Phases 8, 9</t>
  </si>
  <si>
    <t xml:space="preserve">2–3 weeks (MVP) + ongoing</t>
  </si>
  <si>
    <t xml:space="preserve">Know what is happening and why.</t>
  </si>
  <si>
    <t xml:space="preserve">Event pipeline; funnel dashboards; web analytics; error monitoring; search-quality and performance monitoring</t>
  </si>
  <si>
    <t xml:space="preserve">Phase 10</t>
  </si>
  <si>
    <t xml:space="preserve">Be measurably faster than the incumbent.</t>
  </si>
  <si>
    <t xml:space="preserve">Budgets in CI; image and JS optimisation; caching; query tuning; synthetic tests</t>
  </si>
  <si>
    <t xml:space="preserve">Protect users, data and the business model.</t>
  </si>
  <si>
    <t xml:space="preserve">Validation; authorization tests; upload security; rate limits; XSS/SQLi; headers; secrets; PII; review</t>
  </si>
  <si>
    <t xml:space="preserve">Phases 5, 10</t>
  </si>
  <si>
    <t xml:space="preserve">Prove it works before real users find out it does not.</t>
  </si>
  <si>
    <t xml:space="preserve">Test strategy; unit/API/E2E suites; search tests; device, accessibility, browser, load and user testing</t>
  </si>
  <si>
    <t xml:space="preserve">Phases 10, 13</t>
  </si>
  <si>
    <t xml:space="preserve">3 weeks</t>
  </si>
  <si>
    <t xml:space="preserve">Make it possible to ship safely and recover quickly.</t>
  </si>
  <si>
    <t xml:space="preserve">Environments; IaC; domain/DNS/SSL; CDN; CD pipeline; migrations; backups; monitoring; rollback; DR</t>
  </si>
  <si>
    <t xml:space="preserve">Go live with enough inventory to be useful.</t>
  </si>
  <si>
    <t xml:space="preserve">Legal pages; launch inventory; launch checklist; smoke tests; soft launch; public launch; watch window</t>
  </si>
  <si>
    <t xml:space="preserve">Phases 18, 19</t>
  </si>
  <si>
    <t xml:space="preserve">2 weeks + inventory build</t>
  </si>
  <si>
    <t xml:space="preserve">Fix what reality exposed and improve the weakest step.</t>
  </si>
  <si>
    <t xml:space="preserve">Feedback triage; defect fixes; metric review; quality tuning; conversion work; indexation review</t>
  </si>
  <si>
    <t xml:space="preserve">Phase 20</t>
  </si>
  <si>
    <t xml:space="preserve">Ongoing</t>
  </si>
  <si>
    <t xml:space="preserve">Decide and prepare for mobile, based on real data.</t>
  </si>
  <si>
    <t xml:space="preserve">PWA vs native decision; PWA; push; API versioning; mobile analytics plan</t>
  </si>
  <si>
    <t xml:space="preserve">Phase 21</t>
  </si>
  <si>
    <t xml:space="preserve">2–4 weeks</t>
  </si>
  <si>
    <t xml:space="preserve">Build native apps only if the data justifies them.</t>
  </si>
  <si>
    <t xml:space="preserve">Technology decision; mobile design; buyer journey; posting + verification; store release; release process</t>
  </si>
  <si>
    <t xml:space="preserve">Phase 22</t>
  </si>
  <si>
    <t xml:space="preserve">8–12 weeks</t>
  </si>
  <si>
    <t xml:space="preserve">MVP CHECKLIST — what to build now, and what NOT to build yet</t>
  </si>
  <si>
    <t xml:space="preserve">Filter MVP? = MVP for launch scope. Filter MVP? = FUTURE to see what is deliberately deferred and when it returns. This sheet is your defence against scope creep.</t>
  </si>
  <si>
    <t xml:space="preserve">Feature</t>
  </si>
  <si>
    <t xml:space="preserve">Category</t>
  </si>
  <si>
    <t xml:space="preserve">MVP?</t>
  </si>
  <si>
    <t xml:space="preserve">Reason</t>
  </si>
  <si>
    <t xml:space="preserve">Future Phase</t>
  </si>
  <si>
    <t xml:space="preserve">Intent tabs (Buy / Rent)</t>
  </si>
  <si>
    <t xml:space="preserve">Search</t>
  </si>
  <si>
    <t xml:space="preserve">MVP</t>
  </si>
  <si>
    <t xml:space="preserve">Buy and Rent are different products with different filters and economics; separating them is foundational.</t>
  </si>
  <si>
    <t xml:space="preserve">Phase 6</t>
  </si>
  <si>
    <t xml:space="preserve">—</t>
  </si>
  <si>
    <t xml:space="preserve">Multi-select location typeahead</t>
  </si>
  <si>
    <t xml:space="preserve">Real users search several localities at once; the entire funnel starts here.</t>
  </si>
  <si>
    <t xml:space="preserve">Gazetteer (6.1)</t>
  </si>
  <si>
    <t xml:space="preserve">Faceted filters (budget, BHK, type, area, furnishing, status, posted-by, verified)</t>
  </si>
  <si>
    <t xml:space="preserve">Core of the product. Research §6.3 defines the full set.</t>
  </si>
  <si>
    <t xml:space="preserve">Phase 8</t>
  </si>
  <si>
    <t xml:space="preserve">Sorting (relevance, price up/down, newest)</t>
  </si>
  <si>
    <t xml:space="preserve">Filter state never lost on change or error</t>
  </si>
  <si>
    <t xml:space="preserve">The incumbent's most-complained-about failure. This is our differentiator.</t>
  </si>
  <si>
    <t xml:space="preserve">Result cards</t>
  </si>
  <si>
    <t xml:space="preserve">Property</t>
  </si>
  <si>
    <t xml:space="preserve">The unit of comparison; drives click-through.</t>
  </si>
  <si>
    <t xml:space="preserve">Phase 3</t>
  </si>
  <si>
    <t xml:space="preserve">SEO landing pages with path pagination</t>
  </si>
  <si>
    <t xml:space="preserve">SEO</t>
  </si>
  <si>
    <t xml:space="preserve">Primary acquisition channel; cannot be retrofitted.</t>
  </si>
  <si>
    <t xml:space="preserve">Phase 14</t>
  </si>
  <si>
    <t xml:space="preserve">Property detail page</t>
  </si>
  <si>
    <t xml:space="preserve">Where the decision and the lead happen.</t>
  </si>
  <si>
    <t xml:space="preserve">Phase 9</t>
  </si>
  <si>
    <t xml:space="preserve">Static location map on the detail page</t>
  </si>
  <si>
    <t xml:space="preserve">Location is the primary decision factor. NOTE: this is a static map, NOT interactive map search.</t>
  </si>
  <si>
    <t xml:space="preserve">Phase 6, 9</t>
  </si>
  <si>
    <t xml:space="preserve">Buyer</t>
  </si>
  <si>
    <t xml:space="preserve">Primary retention action in a months-long decision.</t>
  </si>
  <si>
    <t xml:space="preserve">Leads</t>
  </si>
  <si>
    <t xml:space="preserve">Lower-friction half of the lead loop.</t>
  </si>
  <si>
    <t xml:space="preserve">The monetisable event. Must be instrumented from day one.</t>
  </si>
  <si>
    <t xml:space="preserve">Phase 5, 10</t>
  </si>
  <si>
    <t xml:space="preserve">Research §24 lists this in MVP; research §23 places it in a later phase. CONFLICT — see DECISIONS LOG D-14.</t>
  </si>
  <si>
    <t xml:space="preserve">Phase 8, 9</t>
  </si>
  <si>
    <t xml:space="preserve">Possibly v1.1</t>
  </si>
  <si>
    <t xml:space="preserve">Responsive web / PWA-ready</t>
  </si>
  <si>
    <t xml:space="preserve">Frontend</t>
  </si>
  <si>
    <t xml:space="preserve">Majority of traffic will be mobile.</t>
  </si>
  <si>
    <t xml:space="preserve">OTP registration with role</t>
  </si>
  <si>
    <t xml:space="preserve">Authentication</t>
  </si>
  <si>
    <t xml:space="preserve">Entry point to every authenticated action.</t>
  </si>
  <si>
    <t xml:space="preserve">Posting wizard with autosave</t>
  </si>
  <si>
    <t xml:space="preserve">Seller/Owner</t>
  </si>
  <si>
    <t xml:space="preserve">Supply must exist before demand can be tested.</t>
  </si>
  <si>
    <t xml:space="preserve">Phase 7</t>
  </si>
  <si>
    <t xml:space="preserve">Photo upload (cap ~30)</t>
  </si>
  <si>
    <t xml:space="preserve">Photos are the highest-impact listing field. Research proposes a conservative cap.</t>
  </si>
  <si>
    <t xml:space="preserve">Draft / preview / publish</t>
  </si>
  <si>
    <t xml:space="preserve">Preview builds seller confidence and catches errors.</t>
  </si>
  <si>
    <t xml:space="preserve">Listing lifecycle states</t>
  </si>
  <si>
    <t xml:space="preserve">Seller dashboard (listings, leads, basic analytics)</t>
  </si>
  <si>
    <t xml:space="preserve">Where the seller's perceived value lives.</t>
  </si>
  <si>
    <t xml:space="preserve">Phase 11</t>
  </si>
  <si>
    <t xml:space="preserve">Edit / renew / delete listing</t>
  </si>
  <si>
    <t xml:space="preserve">Free listing quota enforcement</t>
  </si>
  <si>
    <t xml:space="preserve">Billing/Monetization</t>
  </si>
  <si>
    <t xml:space="preserve">Foundation for all later monetisation.</t>
  </si>
  <si>
    <t xml:space="preserve">Moderation queue + automated pre-checks</t>
  </si>
  <si>
    <t xml:space="preserve">Moderation</t>
  </si>
  <si>
    <t xml:space="preserve">Listing quality is the product.</t>
  </si>
  <si>
    <t xml:space="preserve">Phase 13</t>
  </si>
  <si>
    <t xml:space="preserve">Duplicate detection (image hash + text)</t>
  </si>
  <si>
    <t xml:space="preserve">Duplicates are the top user complaint in this category.</t>
  </si>
  <si>
    <t xml:space="preserve">Phase 7, 13</t>
  </si>
  <si>
    <t xml:space="preserve">Contact-info detection and sanitisation</t>
  </si>
  <si>
    <t xml:space="preserve">Users are your largest moderation workforce.</t>
  </si>
  <si>
    <t xml:space="preserve">Photo verification tier 1</t>
  </si>
  <si>
    <t xml:space="preserve">The trust badge buyers value most. Tier 1 only in MVP.</t>
  </si>
  <si>
    <t xml:space="preserve">Tiers 2–5 later</t>
  </si>
  <si>
    <t xml:space="preserve">Admin console</t>
  </si>
  <si>
    <t xml:space="preserve">Admin</t>
  </si>
  <si>
    <t xml:space="preserve">Accountability and dispute resolution.</t>
  </si>
  <si>
    <t xml:space="preserve">Event analytics / lead funnel</t>
  </si>
  <si>
    <t xml:space="preserve">Analytics</t>
  </si>
  <si>
    <t xml:space="preserve">Phase 15</t>
  </si>
  <si>
    <t xml:space="preserve">Enforced performance budgets</t>
  </si>
  <si>
    <t xml:space="preserve">Performance</t>
  </si>
  <si>
    <t xml:space="preserve">Performance debt compounds; enforce before launch.</t>
  </si>
  <si>
    <t xml:space="preserve">Phase 16</t>
  </si>
  <si>
    <t xml:space="preserve">JSON-LD, sitemaps, canonicals</t>
  </si>
  <si>
    <t xml:space="preserve">Basic technical SEO; cheap now, expensive later.</t>
  </si>
  <si>
    <t xml:space="preserve">Legal pages (T&amp;C, privacy)</t>
  </si>
  <si>
    <t xml:space="preserve">Content</t>
  </si>
  <si>
    <t xml:space="preserve">Phase 0, 20</t>
  </si>
  <si>
    <t xml:space="preserve">Interactive map search (pan / bounding box)</t>
  </si>
  <si>
    <t xml:space="preserve">FUTURE</t>
  </si>
  <si>
    <t xml:space="preserve">Valuable but expensive; the map library is usually the largest frontend dependency.</t>
  </si>
  <si>
    <t xml:space="preserve">v1.1</t>
  </si>
  <si>
    <t xml:space="preserve">Saved-search alerts</t>
  </si>
  <si>
    <t xml:space="preserve">Best retention mechanism, but needs inventory volume to be useful.</t>
  </si>
  <si>
    <t xml:space="preserve">Phase 8, 10</t>
  </si>
  <si>
    <t xml:space="preserve">Comparison view</t>
  </si>
  <si>
    <t xml:space="preserve">Buyers build spreadsheets manually today — a real differentiator, but not launch-critical.</t>
  </si>
  <si>
    <t xml:space="preserve">Locality reviews &amp; ratings</t>
  </si>
  <si>
    <t xml:space="preserve">Needs a user base first. An empty review section actively damages trust.</t>
  </si>
  <si>
    <t xml:space="preserve">v2.0</t>
  </si>
  <si>
    <t xml:space="preserve">Price trends / appreciation data</t>
  </si>
  <si>
    <t xml:space="preserve">Needs years of history plus statistical rigour. Thin-sample trends destroy credibility.</t>
  </si>
  <si>
    <t xml:space="preserve">Projects (new construction)</t>
  </si>
  <si>
    <t xml:space="preserve">A full second data model: configurations, floor plans, payment plans.</t>
  </si>
  <si>
    <t xml:space="preserve">v1.5</t>
  </si>
  <si>
    <t xml:space="preserve">Builder profiles &amp; microsites</t>
  </si>
  <si>
    <t xml:space="preserve">Builder</t>
  </si>
  <si>
    <t xml:space="preserve">High advertising value, but requires the project model first.</t>
  </si>
  <si>
    <t xml:space="preserve">Projects</t>
  </si>
  <si>
    <t xml:space="preserve">Agent profiles &amp; bulk tools</t>
  </si>
  <si>
    <t xml:space="preserve">Agent/Dealer</t>
  </si>
  <si>
    <t xml:space="preserve">Agents are the paying cohort — but only once monetisation exists.</t>
  </si>
  <si>
    <t xml:space="preserve">v1.4</t>
  </si>
  <si>
    <t xml:space="preserve">Payments &amp; subscriptions</t>
  </si>
  <si>
    <t xml:space="preserve">Do not monetise before proving lead quality. Charging on thin liquidity kills marketplaces.</t>
  </si>
  <si>
    <t xml:space="preserve">Phase 10, 15</t>
  </si>
  <si>
    <t xml:space="preserve">v1.3</t>
  </si>
  <si>
    <t xml:space="preserve">Featured / promoted listings</t>
  </si>
  <si>
    <t xml:space="preserve">Requires payments and a bounded, labelled boost design.</t>
  </si>
  <si>
    <t xml:space="preserve">Payments</t>
  </si>
  <si>
    <t xml:space="preserve">Phone number masking</t>
  </si>
  <si>
    <t xml:space="preserve">Strong differentiator (not evidenced at the incumbent) but needs telephony integration and per-minute cost.</t>
  </si>
  <si>
    <t xml:space="preserve">v1.2</t>
  </si>
  <si>
    <t xml:space="preserve">Home loan marketplace / EMI tools</t>
  </si>
  <si>
    <t xml:space="preserve">Highest-value adjacent lead type; EMI calculator is cheap and could come earlier.</t>
  </si>
  <si>
    <t xml:space="preserve">v2.2</t>
  </si>
  <si>
    <t xml:space="preserve">Native mobile apps</t>
  </si>
  <si>
    <t xml:space="preserve">Two more codebases and release cycles. A PWA covers v1.</t>
  </si>
  <si>
    <t xml:space="preserve">v3.0</t>
  </si>
  <si>
    <t xml:space="preserve">Multi-language</t>
  </si>
  <si>
    <t xml:space="preserve">LOW</t>
  </si>
  <si>
    <t xml:space="preserve">Significant complexity across content, SEO and UI.</t>
  </si>
  <si>
    <t xml:space="preserve">Commercial property category</t>
  </si>
  <si>
    <t xml:space="preserve">Adds a full field schema, filter set and landing-page family.</t>
  </si>
  <si>
    <t xml:space="preserve">PG / co-living category</t>
  </si>
  <si>
    <t xml:space="preserve">Different field set (gender, meals, sharing) and different economics.</t>
  </si>
  <si>
    <t xml:space="preserve">Plots / land category</t>
  </si>
  <si>
    <t xml:space="preserve">Different field set (dimensions, boundary wall) and no BHK concept.</t>
  </si>
  <si>
    <t xml:space="preserve">Advanced recommendations / personalisation</t>
  </si>
  <si>
    <t xml:space="preserve">Needs traffic before it can learn anything useful.</t>
  </si>
  <si>
    <t xml:space="preserve">v2.1</t>
  </si>
  <si>
    <t xml:space="preserve">Learning-to-rank relevance</t>
  </si>
  <si>
    <t xml:space="preserve">Needs click and contact data at volume.</t>
  </si>
  <si>
    <t xml:space="preserve">OpenSearch / dedicated search cluster</t>
  </si>
  <si>
    <t xml:space="preserve">Defer until measured need: ~100k listings or facet latency over budget.</t>
  </si>
  <si>
    <t xml:space="preserve">Locality boundary polygons</t>
  </si>
  <si>
    <t xml:space="preserve">A genuine data-acquisition project. Start with centroid + radius.</t>
  </si>
  <si>
    <t xml:space="preserve">RERA registry cross-verification</t>
  </si>
  <si>
    <t xml:space="preserve">Each Indian state has a separate registry, many without APIs.</t>
  </si>
  <si>
    <t xml:space="preserve">Rent agreements / tenant verification</t>
  </si>
  <si>
    <t xml:space="preserve">Adjacent service revenue; converts events into recurring income.</t>
  </si>
  <si>
    <t xml:space="preserve">Community Q&amp;A / editorial engine</t>
  </si>
  <si>
    <t xml:space="preserve">Long-tail SEO value but high ongoing editorial cost.</t>
  </si>
  <si>
    <t xml:space="preserve">FEATURE CHECKLIST — every feature, and what it needs to be built</t>
  </si>
  <si>
    <t xml:space="preserve">Grouped by who uses it. 'Frontend / Backend / Database / API / Third-party' tell you which parts of the system each feature touches.</t>
  </si>
  <si>
    <t xml:space="preserve">User Type</t>
  </si>
  <si>
    <t xml:space="preserve">MVP/Future</t>
  </si>
  <si>
    <t xml:space="preserve">Backend</t>
  </si>
  <si>
    <t xml:space="preserve">Database</t>
  </si>
  <si>
    <t xml:space="preserve">API</t>
  </si>
  <si>
    <t xml:space="preserve">Third-party service</t>
  </si>
  <si>
    <t xml:space="preserve">Browse by intent (Buy/Rent)</t>
  </si>
  <si>
    <t xml:space="preserve">Switch the whole search context between buying and renting.</t>
  </si>
  <si>
    <t xml:space="preserve">Yes</t>
  </si>
  <si>
    <t xml:space="preserve">PROPERTY</t>
  </si>
  <si>
    <t xml:space="preserve">GET /search</t>
  </si>
  <si>
    <t xml:space="preserve">Location typeahead</t>
  </si>
  <si>
    <t xml:space="preserve">Search-as-you-type across cities, localities and societies.</t>
  </si>
  <si>
    <t xml:space="preserve">LOCATION, PLACE_SUGGEST</t>
  </si>
  <si>
    <t xml:space="preserve">GET /places/suggest</t>
  </si>
  <si>
    <t xml:space="preserve">Gazetteer</t>
  </si>
  <si>
    <t xml:space="preserve">Faceted search</t>
  </si>
  <si>
    <t xml:space="preserve">Filter results across many dimensions with live counts.</t>
  </si>
  <si>
    <t xml:space="preserve">PROPERTY, LOCATION</t>
  </si>
  <si>
    <t xml:space="preserve">GET /search, GET /search/facets</t>
  </si>
  <si>
    <t xml:space="preserve">Sort results</t>
  </si>
  <si>
    <t xml:space="preserve">Order results by relevance, price or recency.</t>
  </si>
  <si>
    <t xml:space="preserve">Infinite scroll results</t>
  </si>
  <si>
    <t xml:space="preserve">Load more results as the user scrolls on the app surface.</t>
  </si>
  <si>
    <t xml:space="preserve">GET /search?page=</t>
  </si>
  <si>
    <t xml:space="preserve">Crawlable paginated pages</t>
  </si>
  <si>
    <t xml:space="preserve">Path-based result pages that search engines can index.</t>
  </si>
  <si>
    <t xml:space="preserve">SSR route</t>
  </si>
  <si>
    <t xml:space="preserve">Property detail view</t>
  </si>
  <si>
    <t xml:space="preserve">Full listing information on one page.</t>
  </si>
  <si>
    <t xml:space="preserve">PROPERTY, PROPERTY_MEDIA, AMENITY</t>
  </si>
  <si>
    <t xml:space="preserve">GET /properties/{id}</t>
  </si>
  <si>
    <t xml:space="preserve">Browse listing photos including full-screen view.</t>
  </si>
  <si>
    <t xml:space="preserve">No</t>
  </si>
  <si>
    <t xml:space="preserve">PROPERTY_MEDIA</t>
  </si>
  <si>
    <t xml:space="preserve">included in PDP</t>
  </si>
  <si>
    <t xml:space="preserve">CDN</t>
  </si>
  <si>
    <t xml:space="preserve">See where the property is on a map.</t>
  </si>
  <si>
    <t xml:space="preserve">PROPERTY (geo)</t>
  </si>
  <si>
    <t xml:space="preserve">Maps provider</t>
  </si>
  <si>
    <t xml:space="preserve">D-06</t>
  </si>
  <si>
    <t xml:space="preserve">Keep a list of properties to revisit.</t>
  </si>
  <si>
    <t xml:space="preserve">FAVORITE</t>
  </si>
  <si>
    <t xml:space="preserve">POST/DELETE /favorites</t>
  </si>
  <si>
    <t xml:space="preserve">Phase 5, 9</t>
  </si>
  <si>
    <t xml:space="preserve">Send enquiry</t>
  </si>
  <si>
    <t xml:space="preserve">Message the seller about a listing.</t>
  </si>
  <si>
    <t xml:space="preserve">INQUIRY</t>
  </si>
  <si>
    <t xml:space="preserve">POST /inquiries</t>
  </si>
  <si>
    <t xml:space="preserve">Reveal seller phone</t>
  </si>
  <si>
    <t xml:space="preserve">See the seller's number after OTP verification.</t>
  </si>
  <si>
    <t xml:space="preserve">INQUIRY, USER</t>
  </si>
  <si>
    <t xml:space="preserve">POST /inquiries/reveal</t>
  </si>
  <si>
    <t xml:space="preserve">SMS/OTP</t>
  </si>
  <si>
    <t xml:space="preserve">See comparable listings on the detail page.</t>
  </si>
  <si>
    <t xml:space="preserve">GET /properties/{id}/similar</t>
  </si>
  <si>
    <t xml:space="preserve">D-14</t>
  </si>
  <si>
    <t xml:space="preserve">Get useful alternatives when nothing matches.</t>
  </si>
  <si>
    <t xml:space="preserve">Saved searches &amp; alerts</t>
  </si>
  <si>
    <t xml:space="preserve">Be notified when new matching listings appear.</t>
  </si>
  <si>
    <t xml:space="preserve">SAVED_SEARCH</t>
  </si>
  <si>
    <t xml:space="preserve">CRUD /saved-searches</t>
  </si>
  <si>
    <t xml:space="preserve">Email/Push</t>
  </si>
  <si>
    <t xml:space="preserve">Interactive map search</t>
  </si>
  <si>
    <t xml:space="preserve">Search by panning and zooming a map.</t>
  </si>
  <si>
    <t xml:space="preserve">PROPERTY (PostGIS)</t>
  </si>
  <si>
    <t xml:space="preserve">GET /search/map</t>
  </si>
  <si>
    <t xml:space="preserve">Compare properties</t>
  </si>
  <si>
    <t xml:space="preserve">Side-by-side comparison of shortlisted listings.</t>
  </si>
  <si>
    <t xml:space="preserve">FAVORITE, PROPERTY</t>
  </si>
  <si>
    <t xml:space="preserve">GET /compare</t>
  </si>
  <si>
    <t xml:space="preserve">Register / log in by phone</t>
  </si>
  <si>
    <t xml:space="preserve">Create an account and sign in using an OTP.</t>
  </si>
  <si>
    <t xml:space="preserve">USER, OTP_CHALLENGE</t>
  </si>
  <si>
    <t xml:space="preserve">POST /auth/otp, /auth/verify</t>
  </si>
  <si>
    <t xml:space="preserve">SMS provider</t>
  </si>
  <si>
    <t xml:space="preserve">Session management</t>
  </si>
  <si>
    <t xml:space="preserve">Stay logged in securely across visits.</t>
  </si>
  <si>
    <t xml:space="preserve">USER, SESSION</t>
  </si>
  <si>
    <t xml:space="preserve">POST /auth/refresh</t>
  </si>
  <si>
    <t xml:space="preserve">Role-based permissions</t>
  </si>
  <si>
    <t xml:space="preserve">Control what each type of user may do.</t>
  </si>
  <si>
    <t xml:space="preserve">USER</t>
  </si>
  <si>
    <t xml:space="preserve">all endpoints</t>
  </si>
  <si>
    <t xml:space="preserve">Profile management</t>
  </si>
  <si>
    <t xml:space="preserve">Update name, email and phone.</t>
  </si>
  <si>
    <t xml:space="preserve">PATCH /me</t>
  </si>
  <si>
    <t xml:space="preserve">Account deletion / data export</t>
  </si>
  <si>
    <t xml:space="preserve">Exercise data-protection rights.</t>
  </si>
  <si>
    <t xml:space="preserve">POST /me/delete</t>
  </si>
  <si>
    <t xml:space="preserve">Legal</t>
  </si>
  <si>
    <t xml:space="preserve">Post a property</t>
  </si>
  <si>
    <t xml:space="preserve">Create a listing through a guided multi-step form.</t>
  </si>
  <si>
    <t xml:space="preserve">POST/PATCH /listings</t>
  </si>
  <si>
    <t xml:space="preserve">Never lose a partially completed listing.</t>
  </si>
  <si>
    <t xml:space="preserve">PROPERTY (DRAFT)</t>
  </si>
  <si>
    <t xml:space="preserve">PATCH /listings/{id}</t>
  </si>
  <si>
    <t xml:space="preserve">Upload photos</t>
  </si>
  <si>
    <t xml:space="preserve">Add, reorder and remove listing photos.</t>
  </si>
  <si>
    <t xml:space="preserve">POST /media/presign</t>
  </si>
  <si>
    <t xml:space="preserve">Object storage</t>
  </si>
  <si>
    <t xml:space="preserve">Phase 4, 7</t>
  </si>
  <si>
    <t xml:space="preserve">Preview listing</t>
  </si>
  <si>
    <t xml:space="preserve">See exactly what buyers will see before publishing.</t>
  </si>
  <si>
    <t xml:space="preserve">GET /listings/{id}/preview</t>
  </si>
  <si>
    <t xml:space="preserve">Phase 7, 9</t>
  </si>
  <si>
    <t xml:space="preserve">Publish listing</t>
  </si>
  <si>
    <t xml:space="preserve">Submit the listing for screening and publication.</t>
  </si>
  <si>
    <t xml:space="preserve">POST /listings/{id}/publish</t>
  </si>
  <si>
    <t xml:space="preserve">Listing quota</t>
  </si>
  <si>
    <t xml:space="preserve">Limit how many free listings an account may have.</t>
  </si>
  <si>
    <t xml:space="preserve">USER, QUOTA_LEDGER</t>
  </si>
  <si>
    <t xml:space="preserve">enforced on publish</t>
  </si>
  <si>
    <t xml:space="preserve">Manage listings</t>
  </si>
  <si>
    <t xml:space="preserve">Edit, renew, mark sold or delete listings.</t>
  </si>
  <si>
    <t xml:space="preserve">PATCH/DELETE /listings/{id}</t>
  </si>
  <si>
    <t xml:space="preserve">See everyone who enquired or revealed contact.</t>
  </si>
  <si>
    <t xml:space="preserve">GET /leads</t>
  </si>
  <si>
    <t xml:space="preserve">Mark leads as contacted, qualified, closed or lost.</t>
  </si>
  <si>
    <t xml:space="preserve">PATCH /leads/{id}</t>
  </si>
  <si>
    <t xml:space="preserve">Be alerted immediately when a lead arrives.</t>
  </si>
  <si>
    <t xml:space="preserve">INQUIRY, NOTIFICATION</t>
  </si>
  <si>
    <t xml:space="preserve">worker job</t>
  </si>
  <si>
    <t xml:space="preserve">SMS/Email/Push</t>
  </si>
  <si>
    <t xml:space="preserve">Listing performance stats</t>
  </si>
  <si>
    <t xml:space="preserve">See views, saves and contacts per listing.</t>
  </si>
  <si>
    <t xml:space="preserve">SEARCH_EVENT, INQUIRY</t>
  </si>
  <si>
    <t xml:space="preserve">GET /listings/{id}/stats</t>
  </si>
  <si>
    <t xml:space="preserve">Photo verification</t>
  </si>
  <si>
    <t xml:space="preserve">Verify a listing with guided on-site photo capture.</t>
  </si>
  <si>
    <t xml:space="preserve">VERIFICATION_REQUEST</t>
  </si>
  <si>
    <t xml:space="preserve">POST /verification</t>
  </si>
  <si>
    <t xml:space="preserve">Agent public profile</t>
  </si>
  <si>
    <t xml:space="preserve">A public page listing an agent's properties and areas served.</t>
  </si>
  <si>
    <t xml:space="preserve">AGENT_PROFILE</t>
  </si>
  <si>
    <t xml:space="preserve">GET /agents/{id}</t>
  </si>
  <si>
    <t xml:space="preserve">Bulk listing upload</t>
  </si>
  <si>
    <t xml:space="preserve">Upload many listings by file or feed.</t>
  </si>
  <si>
    <t xml:space="preserve">POST /listings/bulk</t>
  </si>
  <si>
    <t xml:space="preserve">Agent lead CRM</t>
  </si>
  <si>
    <t xml:space="preserve">Assign, track and export leads across a team.</t>
  </si>
  <si>
    <t xml:space="preserve">GET /leads (extended)</t>
  </si>
  <si>
    <t xml:space="preserve">Builder profile</t>
  </si>
  <si>
    <t xml:space="preserve">A page for a developer and their projects.</t>
  </si>
  <si>
    <t xml:space="preserve">BUILDER_PROFILE</t>
  </si>
  <si>
    <t xml:space="preserve">GET /builders/{id}</t>
  </si>
  <si>
    <t xml:space="preserve">Project listing &amp; configurations</t>
  </si>
  <si>
    <t xml:space="preserve">New-construction projects with unit configurations and floor plans.</t>
  </si>
  <si>
    <t xml:space="preserve">PROJECT, PROJECT_CONFIGURATION</t>
  </si>
  <si>
    <t xml:space="preserve">CRUD /projects</t>
  </si>
  <si>
    <t xml:space="preserve">Brochure / payment plan hosting</t>
  </si>
  <si>
    <t xml:space="preserve">Host downloadable project documents behind a lead form.</t>
  </si>
  <si>
    <t xml:space="preserve">PROJECT</t>
  </si>
  <si>
    <t xml:space="preserve">GET /projects/{id}/brochure</t>
  </si>
  <si>
    <t xml:space="preserve">Review listings awaiting approval.</t>
  </si>
  <si>
    <t xml:space="preserve">MODERATION_TASK, PROPERTY</t>
  </si>
  <si>
    <t xml:space="preserve">GET /admin/moderation</t>
  </si>
  <si>
    <t xml:space="preserve">Phase 12, 13</t>
  </si>
  <si>
    <t xml:space="preserve">Machine screening before human review.</t>
  </si>
  <si>
    <t xml:space="preserve">PROPERTY, PROPERTY_MEDIA</t>
  </si>
  <si>
    <t xml:space="preserve">Approve / reject with reason</t>
  </si>
  <si>
    <t xml:space="preserve">Decide on a listing and tell the seller why.</t>
  </si>
  <si>
    <t xml:space="preserve">PROPERTY, MODERATION_TASK</t>
  </si>
  <si>
    <t xml:space="preserve">POST /admin/moderation/{id}</t>
  </si>
  <si>
    <t xml:space="preserve">Handle reported listings</t>
  </si>
  <si>
    <t xml:space="preserve">Act on user abuse reports within an SLA.</t>
  </si>
  <si>
    <t xml:space="preserve">REPORT</t>
  </si>
  <si>
    <t xml:space="preserve">GET /admin/reports</t>
  </si>
  <si>
    <t xml:space="preserve">User management</t>
  </si>
  <si>
    <t xml:space="preserve">Search, inspect and suspend accounts.</t>
  </si>
  <si>
    <t xml:space="preserve">GET/PATCH /admin/users</t>
  </si>
  <si>
    <t xml:space="preserve">Immutable record of every administrative action.</t>
  </si>
  <si>
    <t xml:space="preserve">AUDIT_LOG</t>
  </si>
  <si>
    <t xml:space="preserve">GET /admin/audit</t>
  </si>
  <si>
    <t xml:space="preserve">Add and correct localities and societies.</t>
  </si>
  <si>
    <t xml:space="preserve">LOCATION</t>
  </si>
  <si>
    <t xml:space="preserve">CRUD /admin/locations</t>
  </si>
  <si>
    <t xml:space="preserve">SEO landing page generation</t>
  </si>
  <si>
    <t xml:space="preserve">Generate city/type/budget landing pages from the gazetteer.</t>
  </si>
  <si>
    <t xml:space="preserve">MVP (basic)</t>
  </si>
  <si>
    <t xml:space="preserve">LOCATION, PROPERTY</t>
  </si>
  <si>
    <t xml:space="preserve">SSR routes</t>
  </si>
  <si>
    <t xml:space="preserve">Keep near-empty pages out of the search index.</t>
  </si>
  <si>
    <t xml:space="preserve">LOCATION (counts)</t>
  </si>
  <si>
    <t xml:space="preserve">Machine-readable markup for rich search results.</t>
  </si>
  <si>
    <t xml:space="preserve">Tell search engines which pages exist.</t>
  </si>
  <si>
    <t xml:space="preserve">GET /sitemap*.xml</t>
  </si>
  <si>
    <t xml:space="preserve">Programmatic landing matrix at scale</t>
  </si>
  <si>
    <t xml:space="preserve">Generate the full combinatorial page matrix.</t>
  </si>
  <si>
    <t xml:space="preserve">generator job</t>
  </si>
  <si>
    <t xml:space="preserve">Event tracking</t>
  </si>
  <si>
    <t xml:space="preserve">Record every meaningful user action.</t>
  </si>
  <si>
    <t xml:space="preserve">SEARCH_EVENT</t>
  </si>
  <si>
    <t xml:space="preserve">POST /events</t>
  </si>
  <si>
    <t xml:space="preserve">Lead funnel reporting</t>
  </si>
  <si>
    <t xml:space="preserve">See where users drop out of the funnel.</t>
  </si>
  <si>
    <t xml:space="preserve">internal dashboard</t>
  </si>
  <si>
    <t xml:space="preserve">Capture and alert on application errors.</t>
  </si>
  <si>
    <t xml:space="preserve">Error tracking</t>
  </si>
  <si>
    <t xml:space="preserve">Measure real-world speed by device and city.</t>
  </si>
  <si>
    <t xml:space="preserve">POST /rum</t>
  </si>
  <si>
    <t xml:space="preserve">Transactional email</t>
  </si>
  <si>
    <t xml:space="preserve">Notifications</t>
  </si>
  <si>
    <t xml:space="preserve">Send receipts, alerts and account emails.</t>
  </si>
  <si>
    <t xml:space="preserve">NOTIFICATION</t>
  </si>
  <si>
    <t xml:space="preserve">Email provider</t>
  </si>
  <si>
    <t xml:space="preserve">SMS notifications</t>
  </si>
  <si>
    <t xml:space="preserve">Send OTP and lead alerts by SMS.</t>
  </si>
  <si>
    <t xml:space="preserve">Web push notifications</t>
  </si>
  <si>
    <t xml:space="preserve">Push lead alerts to installed devices.</t>
  </si>
  <si>
    <t xml:space="preserve">Push service</t>
  </si>
  <si>
    <t xml:space="preserve">Let users control what they receive.</t>
  </si>
  <si>
    <t xml:space="preserve">PATCH /me/preferences</t>
  </si>
  <si>
    <t xml:space="preserve">Free listings</t>
  </si>
  <si>
    <t xml:space="preserve">Every seller gets a limited number of free listings.</t>
  </si>
  <si>
    <t xml:space="preserve">QUOTA_LEDGER</t>
  </si>
  <si>
    <t xml:space="preserve">Seller subscription plans</t>
  </si>
  <si>
    <t xml:space="preserve">Paid plans with higher quotas and features.</t>
  </si>
  <si>
    <t xml:space="preserve">PLAN, SUBSCRIPTION</t>
  </si>
  <si>
    <t xml:space="preserve">CRUD /subscriptions</t>
  </si>
  <si>
    <t xml:space="preserve">Payment gateway</t>
  </si>
  <si>
    <t xml:space="preserve">Payments &amp; invoicing</t>
  </si>
  <si>
    <t xml:space="preserve">Take payment and issue GST-compliant invoices.</t>
  </si>
  <si>
    <t xml:space="preserve">PAYMENT</t>
  </si>
  <si>
    <t xml:space="preserve">POST /payments</t>
  </si>
  <si>
    <t xml:space="preserve">Featured listing placement</t>
  </si>
  <si>
    <t xml:space="preserve">Paid, clearly-labelled, bounded ranking boost.</t>
  </si>
  <si>
    <t xml:space="preserve">PROMOTION</t>
  </si>
  <si>
    <t xml:space="preserve">POST /promotions</t>
  </si>
  <si>
    <t xml:space="preserve">Legal &amp; policy pages</t>
  </si>
  <si>
    <t xml:space="preserve">Terms, privacy, disclaimers and contact information.</t>
  </si>
  <si>
    <t xml:space="preserve">static</t>
  </si>
  <si>
    <t xml:space="preserve">Help / FAQ content</t>
  </si>
  <si>
    <t xml:space="preserve">Answer common user questions and reduce support load.</t>
  </si>
  <si>
    <t xml:space="preserve">Locality reviews</t>
  </si>
  <si>
    <t xml:space="preserve">Resident ratings on environment, connectivity and safety.</t>
  </si>
  <si>
    <t xml:space="preserve">CRUD /reviews</t>
  </si>
  <si>
    <t xml:space="preserve">Price trends</t>
  </si>
  <si>
    <t xml:space="preserve">Rate-per-area trends and appreciation by locality.</t>
  </si>
  <si>
    <t xml:space="preserve">LOCALITY_STATS, PRICE_HISTORY</t>
  </si>
  <si>
    <t xml:space="preserve">GET /trends</t>
  </si>
  <si>
    <t xml:space="preserve">EMI calculator</t>
  </si>
  <si>
    <t xml:space="preserve">Estimate monthly loan payments.</t>
  </si>
  <si>
    <t xml:space="preserve">client-side</t>
  </si>
  <si>
    <t xml:space="preserve">WEBSITE PAGES — every page to design and build</t>
  </si>
  <si>
    <t xml:space="preserve">URL patterns follow the SEO architecture proposed in the research. Decide these URLs in Phase 2, BEFORE building any page — changing them after launch costs search ranking.</t>
  </si>
  <si>
    <t xml:space="preserve">Page name</t>
  </si>
  <si>
    <t xml:space="preserve">URL pattern</t>
  </si>
  <si>
    <t xml:space="preserve">Purpose</t>
  </si>
  <si>
    <t xml:space="preserve">User type</t>
  </si>
  <si>
    <t xml:space="preserve">SEO required?</t>
  </si>
  <si>
    <t xml:space="preserve">Dynamic/Static</t>
  </si>
  <si>
    <t xml:space="preserve">Required components</t>
  </si>
  <si>
    <t xml:space="preserve">API/data required</t>
  </si>
  <si>
    <t xml:space="preserve">Mobile required?</t>
  </si>
  <si>
    <t xml:space="preserve">Homepage</t>
  </si>
  <si>
    <t xml:space="preserve">/</t>
  </si>
  <si>
    <t xml:space="preserve">Route the visitor into a typed intent plus a place, as fast as possible.</t>
  </si>
  <si>
    <t xml:space="preserve">All</t>
  </si>
  <si>
    <t xml:space="preserve">Dynamic (SSR + cached)</t>
  </si>
  <si>
    <t xml:space="preserve">Header, intent tabs, hero search, quick chips, recommended rail, budget tiles, locality cards, owner CTA, SEO footer</t>
  </si>
  <si>
    <t xml:space="preserve">Suggest API, popular localities, recommended listings</t>
  </si>
  <si>
    <t xml:space="preserve">Search results — SEO landing</t>
  </si>
  <si>
    <t xml:space="preserve">/{intent}/{city}[/{locality}][/{filter-slug}]</t>
  </si>
  <si>
    <t xml:space="preserve">Indexable landing page for a specific search intent; the main acquisition channel.</t>
  </si>
  <si>
    <t xml:space="preserve">Buyer/Tenant</t>
  </si>
  <si>
    <t xml:space="preserve">Dynamic (SSR + ISR)</t>
  </si>
  <si>
    <t xml:space="preserve">Breadcrumb, H1 with count, filter rail, sort, chips, result cards, pagination, SEO copy, internal links, FAQ</t>
  </si>
  <si>
    <t xml:space="preserve">Search API, facet counts, internal link clusters</t>
  </si>
  <si>
    <t xml:space="preserve">Search results — paginated</t>
  </si>
  <si>
    <t xml:space="preserve">/{intent}/{city}/.../page/{n}</t>
  </si>
  <si>
    <t xml:space="preserve">Crawlable deep pages so inventory beyond page 1 can be indexed.</t>
  </si>
  <si>
    <t xml:space="preserve">Dynamic (SSR)</t>
  </si>
  <si>
    <t xml:space="preserve">Same as landing page plus prev/next links</t>
  </si>
  <si>
    <t xml:space="preserve">Search API with offset</t>
  </si>
  <si>
    <t xml:space="preserve">Search — interactive app surface</t>
  </si>
  <si>
    <t xml:space="preserve">/search?…</t>
  </si>
  <si>
    <t xml:space="preserve">Fast, stateful filtering without page reloads. Deliberately NOT indexed.</t>
  </si>
  <si>
    <t xml:space="preserve">No (noindex)</t>
  </si>
  <si>
    <t xml:space="preserve">Dynamic (client + API)</t>
  </si>
  <si>
    <t xml:space="preserve">Filter panel/sheet, chips, sort, infinite scroll, result count</t>
  </si>
  <si>
    <t xml:space="preserve">Search API, facet API</t>
  </si>
  <si>
    <t xml:space="preserve">Property detail</t>
  </si>
  <si>
    <t xml:space="preserve">/property/{slug}-p{id}</t>
  </si>
  <si>
    <t xml:space="preserve">Answer every buyer question and convert to a lead.</t>
  </si>
  <si>
    <t xml:space="preserve">Breadcrumb, gallery, header, sticky contact, details grid, amenities, map, seller card, similar, FAQ, JSON-LD</t>
  </si>
  <si>
    <t xml:space="preserve">Property API, similar API, locality summary</t>
  </si>
  <si>
    <t xml:space="preserve">Property expired</t>
  </si>
  <si>
    <t xml:space="preserve">/property/{slug}-p{id} (HTTP 410)</t>
  </si>
  <si>
    <t xml:space="preserve">Handle a removed listing without a dead end or an SEO penalty.</t>
  </si>
  <si>
    <t xml:space="preserve">Yes (410)</t>
  </si>
  <si>
    <t xml:space="preserve">Explanation, similar active listings, search CTA</t>
  </si>
  <si>
    <t xml:space="preserve">Similar listings API</t>
  </si>
  <si>
    <t xml:space="preserve">Locality hub</t>
  </si>
  <si>
    <t xml:space="preserve">/localities/{city}/{locality}</t>
  </si>
  <si>
    <t xml:space="preserve">Capture research-intent traffic and link into listings.</t>
  </si>
  <si>
    <t xml:space="preserve">Locality summary, listing rails by intent, nearby localities, map, stats</t>
  </si>
  <si>
    <t xml:space="preserve">Locality API, listing counts</t>
  </si>
  <si>
    <t xml:space="preserve">City hub</t>
  </si>
  <si>
    <t xml:space="preserve">/localities/{city}</t>
  </si>
  <si>
    <t xml:space="preserve">Top-level geographic entry point and crawl distribution.</t>
  </si>
  <si>
    <t xml:space="preserve">Locality grid, popular searches, listing counts</t>
  </si>
  <si>
    <t xml:space="preserve">Locality API</t>
  </si>
  <si>
    <t xml:space="preserve">Login / Register</t>
  </si>
  <si>
    <t xml:space="preserve">/login, /register</t>
  </si>
  <si>
    <t xml:space="preserve">Let users authenticate by phone OTP.</t>
  </si>
  <si>
    <t xml:space="preserve">Dynamic</t>
  </si>
  <si>
    <t xml:space="preserve">Phone input, OTP input, role select, resend timer</t>
  </si>
  <si>
    <t xml:space="preserve">Auth API</t>
  </si>
  <si>
    <t xml:space="preserve">Post property wizard</t>
  </si>
  <si>
    <t xml:space="preserve">/post-property</t>
  </si>
  <si>
    <t xml:space="preserve">Let a seller create a listing in under 8 minutes on a phone.</t>
  </si>
  <si>
    <t xml:space="preserve">Seller/Owner/Agent</t>
  </si>
  <si>
    <t xml:space="preserve">Stepper, config-driven fields, map pin, uploader, completeness score, preview</t>
  </si>
  <si>
    <t xml:space="preserve">Listings API, media presign, places API</t>
  </si>
  <si>
    <t xml:space="preserve">Post property landing</t>
  </si>
  <si>
    <t xml:space="preserve">/post-property-free</t>
  </si>
  <si>
    <t xml:space="preserve">Marketing page that converts owners into sellers.</t>
  </si>
  <si>
    <t xml:space="preserve">Static/ISR</t>
  </si>
  <si>
    <t xml:space="preserve">Value proposition, steps explainer, CTA, FAQ</t>
  </si>
  <si>
    <t xml:space="preserve">Listing preview</t>
  </si>
  <si>
    <t xml:space="preserve">/post-property/{id}/preview</t>
  </si>
  <si>
    <t xml:space="preserve">Show the seller exactly what buyers will see.</t>
  </si>
  <si>
    <t xml:space="preserve">Full PDP rendering in preview mode, edit and publish actions</t>
  </si>
  <si>
    <t xml:space="preserve">Listings API</t>
  </si>
  <si>
    <t xml:space="preserve">Dashboard home</t>
  </si>
  <si>
    <t xml:space="preserve">/dashboard</t>
  </si>
  <si>
    <t xml:space="preserve">Home base after login for both sides.</t>
  </si>
  <si>
    <t xml:space="preserve">All (auth)</t>
  </si>
  <si>
    <t xml:space="preserve">Role-aware summary cards, quick actions</t>
  </si>
  <si>
    <t xml:space="preserve">User API, counts</t>
  </si>
  <si>
    <t xml:space="preserve">/dashboard/listings</t>
  </si>
  <si>
    <t xml:space="preserve">Manage listings across every lifecycle state.</t>
  </si>
  <si>
    <t xml:space="preserve">State tabs, listing rows, actions, empty states</t>
  </si>
  <si>
    <t xml:space="preserve">/dashboard/leads</t>
  </si>
  <si>
    <t xml:space="preserve">See and work every lead received.</t>
  </si>
  <si>
    <t xml:space="preserve">Lead list, type filter, status controls, notes, detail drawer</t>
  </si>
  <si>
    <t xml:space="preserve">Leads API</t>
  </si>
  <si>
    <t xml:space="preserve">/dashboard/listings/{id}/stats</t>
  </si>
  <si>
    <t xml:space="preserve">Show sellers how their listing performs.</t>
  </si>
  <si>
    <t xml:space="preserve">Stat tiles, trend chart, comparison to locality average</t>
  </si>
  <si>
    <t xml:space="preserve">Stats API</t>
  </si>
  <si>
    <t xml:space="preserve">/dashboard/saved</t>
  </si>
  <si>
    <t xml:space="preserve">The buyer's shortlist.</t>
  </si>
  <si>
    <t xml:space="preserve">Saved cards, remove, notes, empty state</t>
  </si>
  <si>
    <t xml:space="preserve">Favorites API</t>
  </si>
  <si>
    <t xml:space="preserve">Profile &amp; settings</t>
  </si>
  <si>
    <t xml:space="preserve">/dashboard/profile</t>
  </si>
  <si>
    <t xml:space="preserve">Manage account details and preferences.</t>
  </si>
  <si>
    <t xml:space="preserve">Profile form, phone change with OTP, notification preferences, delete account</t>
  </si>
  <si>
    <t xml:space="preserve">User API</t>
  </si>
  <si>
    <t xml:space="preserve">Admin — moderation queue</t>
  </si>
  <si>
    <t xml:space="preserve">/admin/moderation</t>
  </si>
  <si>
    <t xml:space="preserve">Queue list, listing preview, approve/reject with reason, auto-check results</t>
  </si>
  <si>
    <t xml:space="preserve">Admin API</t>
  </si>
  <si>
    <t xml:space="preserve">Admin — listings</t>
  </si>
  <si>
    <t xml:space="preserve">/admin/listings</t>
  </si>
  <si>
    <t xml:space="preserve">Find and act on any listing.</t>
  </si>
  <si>
    <t xml:space="preserve">Search, filters, bulk actions, detail view</t>
  </si>
  <si>
    <t xml:space="preserve">Admin — users</t>
  </si>
  <si>
    <t xml:space="preserve">/admin/users</t>
  </si>
  <si>
    <t xml:space="preserve">Inspect and manage accounts.</t>
  </si>
  <si>
    <t xml:space="preserve">User search, detail, suspend, listings and leads view</t>
  </si>
  <si>
    <t xml:space="preserve">Admin — reports</t>
  </si>
  <si>
    <t xml:space="preserve">/admin/reports</t>
  </si>
  <si>
    <t xml:space="preserve">Handle user abuse reports within SLA.</t>
  </si>
  <si>
    <t xml:space="preserve">Report queue, SLA timer, resolution actions</t>
  </si>
  <si>
    <t xml:space="preserve">Admin — locations</t>
  </si>
  <si>
    <t xml:space="preserve">/admin/locations</t>
  </si>
  <si>
    <t xml:space="preserve">Maintain the place hierarchy.</t>
  </si>
  <si>
    <t xml:space="preserve">Tree browser, add/edit locality, merge duplicates</t>
  </si>
  <si>
    <t xml:space="preserve">Admin — audit log</t>
  </si>
  <si>
    <t xml:space="preserve">/admin/audit</t>
  </si>
  <si>
    <t xml:space="preserve">Review every administrative action.</t>
  </si>
  <si>
    <t xml:space="preserve">Filterable immutable log</t>
  </si>
  <si>
    <t xml:space="preserve">Admin — dashboard</t>
  </si>
  <si>
    <t xml:space="preserve">/admin</t>
  </si>
  <si>
    <t xml:space="preserve">Operational overview in one screen.</t>
  </si>
  <si>
    <t xml:space="preserve">Queue depth, new listings, reports, lead volume</t>
  </si>
  <si>
    <t xml:space="preserve">Terms &amp; Conditions</t>
  </si>
  <si>
    <t xml:space="preserve">/terms</t>
  </si>
  <si>
    <t xml:space="preserve">Legal terms of use, including verification scope disclaimer.</t>
  </si>
  <si>
    <t xml:space="preserve">Static</t>
  </si>
  <si>
    <t xml:space="preserve">Legal content, last-updated date</t>
  </si>
  <si>
    <t xml:space="preserve">Privacy Policy</t>
  </si>
  <si>
    <t xml:space="preserve">/privacy</t>
  </si>
  <si>
    <t xml:space="preserve">Explain what data is collected and users' rights.</t>
  </si>
  <si>
    <t xml:space="preserve">Legal content, contact for data requests</t>
  </si>
  <si>
    <t xml:space="preserve">About / Contact</t>
  </si>
  <si>
    <t xml:space="preserve">/about, /contact</t>
  </si>
  <si>
    <t xml:space="preserve">Establish legitimacy and provide a support channel.</t>
  </si>
  <si>
    <t xml:space="preserve">Company info, contact form, support details</t>
  </si>
  <si>
    <t xml:space="preserve">Contact form API</t>
  </si>
  <si>
    <t xml:space="preserve">Help / FAQ</t>
  </si>
  <si>
    <t xml:space="preserve">/help[/{slug}]</t>
  </si>
  <si>
    <t xml:space="preserve">Answer common questions and reduce support load.</t>
  </si>
  <si>
    <t xml:space="preserve">FAQ accordion, search, categories, FAQPage JSON-LD</t>
  </si>
  <si>
    <t xml:space="preserve">None (MVP)</t>
  </si>
  <si>
    <t xml:space="preserve">404 Not Found</t>
  </si>
  <si>
    <t xml:space="preserve">(any unmatched)</t>
  </si>
  <si>
    <t xml:space="preserve">Recover a lost user rather than losing them.</t>
  </si>
  <si>
    <t xml:space="preserve">Explanation, search box, popular links</t>
  </si>
  <si>
    <t xml:space="preserve">500 Error</t>
  </si>
  <si>
    <t xml:space="preserve">(server error)</t>
  </si>
  <si>
    <t xml:space="preserve">Fail gracefully and keep the brand intact.</t>
  </si>
  <si>
    <t xml:space="preserve">Apology, retry, support link</t>
  </si>
  <si>
    <t xml:space="preserve">Sitemap index</t>
  </si>
  <si>
    <t xml:space="preserve">/sitemap.xml + children</t>
  </si>
  <si>
    <t xml:space="preserve">Crawler</t>
  </si>
  <si>
    <t xml:space="preserve">Dynamic (generated)</t>
  </si>
  <si>
    <t xml:space="preserve">XML only</t>
  </si>
  <si>
    <t xml:space="preserve">Sitemap generator</t>
  </si>
  <si>
    <t xml:space="preserve">/robots.txt</t>
  </si>
  <si>
    <t xml:space="preserve">Control crawler access and point to sitemaps.</t>
  </si>
  <si>
    <t xml:space="preserve">Static/Dynamic</t>
  </si>
  <si>
    <t xml:space="preserve">Text only</t>
  </si>
  <si>
    <t xml:space="preserve">Map search</t>
  </si>
  <si>
    <t xml:space="preserve">/search/map?bbox=…</t>
  </si>
  <si>
    <t xml:space="preserve">Search by panning a map. DEFERRED to v1.1.</t>
  </si>
  <si>
    <t xml:space="preserve">Map, clustered markers, mini-cards, list toggle</t>
  </si>
  <si>
    <t xml:space="preserve">Map search API</t>
  </si>
  <si>
    <t xml:space="preserve">Project detail</t>
  </si>
  <si>
    <t xml:space="preserve">/project/{slug}-j{id}</t>
  </si>
  <si>
    <t xml:space="preserve">New-construction project page. DEFERRED to v1.5.</t>
  </si>
  <si>
    <t xml:space="preserve">Overview, configurations, floor plans, brochure gate, amenities, RERA</t>
  </si>
  <si>
    <t xml:space="preserve">Projects API</t>
  </si>
  <si>
    <t xml:space="preserve">/builder/{slug}-b{id}</t>
  </si>
  <si>
    <t xml:space="preserve">Developer page with their projects. DEFERRED to v1.5.</t>
  </si>
  <si>
    <t xml:space="preserve">Profile, project list, track record</t>
  </si>
  <si>
    <t xml:space="preserve">Builders API</t>
  </si>
  <si>
    <t xml:space="preserve">Agent profile</t>
  </si>
  <si>
    <t xml:space="preserve">/agent/{slug}-a{id}</t>
  </si>
  <si>
    <t xml:space="preserve">Agent page with listings and areas served. DEFERRED to v1.4.</t>
  </si>
  <si>
    <t xml:space="preserve">Profile, listings, areas, reviews</t>
  </si>
  <si>
    <t xml:space="preserve">Agents API</t>
  </si>
  <si>
    <t xml:space="preserve">/price-trends/{city}[/{locality}]</t>
  </si>
  <si>
    <t xml:space="preserve">Rate and appreciation data. DEFERRED to v2.0.</t>
  </si>
  <si>
    <t xml:space="preserve">Dynamic (ISR, monthly)</t>
  </si>
  <si>
    <t xml:space="preserve">Trend charts, locality leaderboard, comparison</t>
  </si>
  <si>
    <t xml:space="preserve">/reviews/{city}[/{locality}]</t>
  </si>
  <si>
    <t xml:space="preserve">Resident ratings and reviews. DEFERRED to v2.0.</t>
  </si>
  <si>
    <t xml:space="preserve">Rating summary, review list, write-review form</t>
  </si>
  <si>
    <t xml:space="preserve">Reviews API</t>
  </si>
  <si>
    <t xml:space="preserve">Pricing / plans</t>
  </si>
  <si>
    <t xml:space="preserve">/pricing</t>
  </si>
  <si>
    <t xml:space="preserve">Self-serve seller plans. DEFERRED to v1.3.</t>
  </si>
  <si>
    <t xml:space="preserve">Seller/Agent/Builder</t>
  </si>
  <si>
    <t xml:space="preserve">Plan comparison, FAQ, checkout CTA</t>
  </si>
  <si>
    <t xml:space="preserve">Plans API</t>
  </si>
  <si>
    <t xml:space="preserve">/home-loan/emi-calculator</t>
  </si>
  <si>
    <t xml:space="preserve">High-intent finance tool and SEO asset. DEFERRED to v2.2.</t>
  </si>
  <si>
    <t xml:space="preserve">Static + client JS</t>
  </si>
  <si>
    <t xml:space="preserve">Calculator, results, related content</t>
  </si>
  <si>
    <t xml:space="preserve">USER FLOWS — step-by-step journeys, including what can go wrong</t>
  </si>
  <si>
    <t xml:space="preserve">Fifteen complete journeys for buyers, sellers and admins. The 'Possible Error' column is the most valuable part: these are the failures to design for and test.</t>
  </si>
  <si>
    <t xml:space="preserve">Flow</t>
  </si>
  <si>
    <t xml:space="preserve">Step No.</t>
  </si>
  <si>
    <t xml:space="preserve">Actor</t>
  </si>
  <si>
    <t xml:space="preserve">Action</t>
  </si>
  <si>
    <t xml:space="preserve">Screen</t>
  </si>
  <si>
    <t xml:space="preserve">System Response</t>
  </si>
  <si>
    <t xml:space="preserve">Next Step</t>
  </si>
  <si>
    <t xml:space="preserve">Possible Error</t>
  </si>
  <si>
    <t xml:space="preserve">A. Buyer searches for a property</t>
  </si>
  <si>
    <t xml:space="preserve">Opens the site</t>
  </si>
  <si>
    <t xml:space="preserve">Homepage renders server-side with the search widget ready</t>
  </si>
  <si>
    <t xml:space="preserve">Step 2</t>
  </si>
  <si>
    <t xml:space="preserve">Slow first load — must stay within the LCP budget</t>
  </si>
  <si>
    <t xml:space="preserve">Chooses the Buy or Rent tab</t>
  </si>
  <si>
    <t xml:space="preserve">Search form reconfigures for the chosen intent</t>
  </si>
  <si>
    <t xml:space="preserve">Step 3</t>
  </si>
  <si>
    <t xml:space="preserve">Wrong filter set shown if intent not applied</t>
  </si>
  <si>
    <t xml:space="preserve">Types a city or locality name</t>
  </si>
  <si>
    <t xml:space="preserve">Typeahead returns grouped suggestions with result counts</t>
  </si>
  <si>
    <t xml:space="preserve">Step 4</t>
  </si>
  <si>
    <t xml:space="preserve">No suggestions if the gazetteer lacks the place; stale results if requests are not cancelled</t>
  </si>
  <si>
    <t xml:space="preserve">Selects one or more places</t>
  </si>
  <si>
    <t xml:space="preserve">Each selection becomes a removable chip</t>
  </si>
  <si>
    <t xml:space="preserve">Step 5</t>
  </si>
  <si>
    <t xml:space="preserve">Duplicate chips if not de-duplicated</t>
  </si>
  <si>
    <t xml:space="preserve">Presses Search</t>
  </si>
  <si>
    <t xml:space="preserve">Navigates to the SEO landing URL for that intent and place</t>
  </si>
  <si>
    <t xml:space="preserve">Step 6</t>
  </si>
  <si>
    <t xml:space="preserve">Unknown place cannot resolve to a URL</t>
  </si>
  <si>
    <t xml:space="preserve">System</t>
  </si>
  <si>
    <t xml:space="preserve">Renders results</t>
  </si>
  <si>
    <t xml:space="preserve">Search results</t>
  </si>
  <si>
    <t xml:space="preserve">Server-rendered results with count in H1 and title</t>
  </si>
  <si>
    <t xml:space="preserve">Flow B</t>
  </si>
  <si>
    <t xml:space="preserve">Zero results — must show the recovery ladder, never a blank page</t>
  </si>
  <si>
    <t xml:space="preserve">B. Buyer filters results</t>
  </si>
  <si>
    <t xml:space="preserve">Opens filters</t>
  </si>
  <si>
    <t xml:space="preserve">Search results (desktop rail / mobile sheet)</t>
  </si>
  <si>
    <t xml:space="preserve">Filter panel opens showing option counts</t>
  </si>
  <si>
    <t xml:space="preserve">Counts wrong if facet semantics are incorrect</t>
  </si>
  <si>
    <t xml:space="preserve">Sets a budget range</t>
  </si>
  <si>
    <t xml:space="preserve">Filter panel</t>
  </si>
  <si>
    <t xml:space="preserve">Result count preview updates live</t>
  </si>
  <si>
    <t xml:space="preserve">Linear slider makes the common range unselectable</t>
  </si>
  <si>
    <t xml:space="preserve">Selects BHK and property type</t>
  </si>
  <si>
    <t xml:space="preserve">Counts for other facets recalculate</t>
  </si>
  <si>
    <t xml:space="preserve">Zero-count options hidden instead of disabled — looks broken</t>
  </si>
  <si>
    <t xml:space="preserve">Applies filters</t>
  </si>
  <si>
    <t xml:space="preserve">URL updates; results refresh; chips appear</t>
  </si>
  <si>
    <t xml:space="preserve">CRITICAL: must never navigate away, reset scroll or clear state</t>
  </si>
  <si>
    <t xml:space="preserve">Changes sort order</t>
  </si>
  <si>
    <t xml:space="preserve">Results reorder; explicit sort is respected exactly</t>
  </si>
  <si>
    <t xml:space="preserve">Promoted listings interleaving into an explicit sort destroys trust</t>
  </si>
  <si>
    <t xml:space="preserve">Removes a filter chip</t>
  </si>
  <si>
    <t xml:space="preserve">That filter is removed and results refresh</t>
  </si>
  <si>
    <t xml:space="preserve">Flow C</t>
  </si>
  <si>
    <t xml:space="preserve">Back button behaviour inconsistent if history is mismanaged</t>
  </si>
  <si>
    <t xml:space="preserve">C. Buyer opens a property</t>
  </si>
  <si>
    <t xml:space="preserve">Clicks a result card</t>
  </si>
  <si>
    <t xml:space="preserve">Navigates to the property detail URL</t>
  </si>
  <si>
    <t xml:space="preserve">Losing search context on back navigation</t>
  </si>
  <si>
    <t xml:space="preserve">Renders the detail page</t>
  </si>
  <si>
    <t xml:space="preserve">Server-rendered page with gallery and sticky contact</t>
  </si>
  <si>
    <t xml:space="preserve">Layout shift if image boxes are not reserved</t>
  </si>
  <si>
    <t xml:space="preserve">Browses photos</t>
  </si>
  <si>
    <t xml:space="preserve">Gallery advances; full-screen available</t>
  </si>
  <si>
    <t xml:space="preserve">Slow gallery if all images load eagerly</t>
  </si>
  <si>
    <t xml:space="preserve">Reads details and amenities</t>
  </si>
  <si>
    <t xml:space="preserve">Specification grid with explicit area basis</t>
  </si>
  <si>
    <t xml:space="preserve">Ambiguous area basis misleads on price per sqft</t>
  </si>
  <si>
    <t xml:space="preserve">Views the location map</t>
  </si>
  <si>
    <t xml:space="preserve">Map renders with approximate pin for owner listings</t>
  </si>
  <si>
    <t xml:space="preserve">Flow D or E</t>
  </si>
  <si>
    <t xml:space="preserve">Map blocking first paint; exact address exposed prematurely</t>
  </si>
  <si>
    <t xml:space="preserve">D. Buyer saves a property</t>
  </si>
  <si>
    <t xml:space="preserve">Taps the save icon</t>
  </si>
  <si>
    <t xml:space="preserve">Property detail or card</t>
  </si>
  <si>
    <t xml:space="preserve">Icon fills immediately (optimistic update)</t>
  </si>
  <si>
    <t xml:space="preserve">Optimistic update not reverted if the request fails</t>
  </si>
  <si>
    <t xml:space="preserve">Checks authentication</t>
  </si>
  <si>
    <t xml:space="preserve">If logged out, opens the auth sheet</t>
  </si>
  <si>
    <t xml:space="preserve">Losing the user's place in the page</t>
  </si>
  <si>
    <t xml:space="preserve">Completes login if prompted</t>
  </si>
  <si>
    <t xml:space="preserve">Auth sheet</t>
  </si>
  <si>
    <t xml:space="preserve">Login succeeds</t>
  </si>
  <si>
    <t xml:space="preserve">User abandons if returned to the homepage instead of the listing</t>
  </si>
  <si>
    <t xml:space="preserve">Replays the save</t>
  </si>
  <si>
    <t xml:space="preserve">Property is saved and confirmed by a toast</t>
  </si>
  <si>
    <t xml:space="preserve">Save silently dropped after login — a common and costly bug</t>
  </si>
  <si>
    <t xml:space="preserve">Opens saved list later</t>
  </si>
  <si>
    <t xml:space="preserve">Saved listings appear, including on other devices</t>
  </si>
  <si>
    <t xml:space="preserve">End</t>
  </si>
  <si>
    <t xml:space="preserve">Saved items lost if stored only in the browser</t>
  </si>
  <si>
    <t xml:space="preserve">E. Buyer contacts the seller</t>
  </si>
  <si>
    <t xml:space="preserve">Presses Contact or View Number</t>
  </si>
  <si>
    <t xml:space="preserve">Contact form opens</t>
  </si>
  <si>
    <t xml:space="preserve">CTA not reachable if the sticky bar is missing</t>
  </si>
  <si>
    <t xml:space="preserve">Enters name and phone</t>
  </si>
  <si>
    <t xml:space="preserve">Contact form</t>
  </si>
  <si>
    <t xml:space="preserve">Input validated</t>
  </si>
  <si>
    <t xml:space="preserve">Weak validation lets junk leads through</t>
  </si>
  <si>
    <t xml:space="preserve">Requests the OTP</t>
  </si>
  <si>
    <t xml:space="preserve">OTP sent to the phone</t>
  </si>
  <si>
    <t xml:space="preserve">SMS delay or failure; must offer resend with a timer</t>
  </si>
  <si>
    <t xml:space="preserve">Enters the OTP</t>
  </si>
  <si>
    <t xml:space="preserve">Code verified</t>
  </si>
  <si>
    <t xml:space="preserve">Wrong code; expired code; too many attempts</t>
  </si>
  <si>
    <t xml:space="preserve">Records the lead</t>
  </si>
  <si>
    <t xml:space="preserve">Inquiry saved BEFORE the number is shown; deduplicated</t>
  </si>
  <si>
    <t xml:space="preserve">Revealing before recording loses the lead if the write fails</t>
  </si>
  <si>
    <t xml:space="preserve">Reveals contact details</t>
  </si>
  <si>
    <t xml:space="preserve">Seller's number shown; seller notified</t>
  </si>
  <si>
    <t xml:space="preserve">Rate limit exceeded — explain clearly rather than failing silently</t>
  </si>
  <si>
    <t xml:space="preserve">F. Buyer completes OTP verification</t>
  </si>
  <si>
    <t xml:space="preserve">Triggers an action needing verification</t>
  </si>
  <si>
    <t xml:space="preserve">Any</t>
  </si>
  <si>
    <t xml:space="preserve">OTP challenge created with expiry</t>
  </si>
  <si>
    <t xml:space="preserve">Too many requests from one number</t>
  </si>
  <si>
    <t xml:space="preserve">Sends the code</t>
  </si>
  <si>
    <t xml:space="preserve">SMS dispatched via provider</t>
  </si>
  <si>
    <t xml:space="preserve">Provider outage; DLT template not approved</t>
  </si>
  <si>
    <t xml:space="preserve">Enters the code</t>
  </si>
  <si>
    <t xml:space="preserve">OTP input</t>
  </si>
  <si>
    <t xml:space="preserve">Code checked against the challenge</t>
  </si>
  <si>
    <t xml:space="preserve">Expired or already-used code</t>
  </si>
  <si>
    <t xml:space="preserve">Issues a session</t>
  </si>
  <si>
    <t xml:space="preserve">Tokens issued; the original action resumes</t>
  </si>
  <si>
    <t xml:space="preserve">Action not resumed after verification</t>
  </si>
  <si>
    <t xml:space="preserve">G. Seller registers</t>
  </si>
  <si>
    <t xml:space="preserve">Seller</t>
  </si>
  <si>
    <t xml:space="preserve">Chooses Post Property</t>
  </si>
  <si>
    <t xml:space="preserve">Homepage / nav</t>
  </si>
  <si>
    <t xml:space="preserve">Prompted to sign in or register</t>
  </si>
  <si>
    <t xml:space="preserve">Entry point not obvious enough</t>
  </si>
  <si>
    <t xml:space="preserve">Enters phone number</t>
  </si>
  <si>
    <t xml:space="preserve">Register</t>
  </si>
  <si>
    <t xml:space="preserve">OTP sent</t>
  </si>
  <si>
    <t xml:space="preserve">Number already registered — must sign in instead</t>
  </si>
  <si>
    <t xml:space="preserve">Phone verified</t>
  </si>
  <si>
    <t xml:space="preserve">Code expired</t>
  </si>
  <si>
    <t xml:space="preserve">Selects role (Owner / Agent / Builder)</t>
  </si>
  <si>
    <t xml:space="preserve">Role stored on the account</t>
  </si>
  <si>
    <t xml:space="preserve">Flow H</t>
  </si>
  <si>
    <t xml:space="preserve">Agents self-selecting as owners — see the detection task</t>
  </si>
  <si>
    <t xml:space="preserve">H. Seller posts a property</t>
  </si>
  <si>
    <t xml:space="preserve">Starts the wizard</t>
  </si>
  <si>
    <t xml:space="preserve">Post property — Basics</t>
  </si>
  <si>
    <t xml:space="preserve">Draft created server-side immediately</t>
  </si>
  <si>
    <t xml:space="preserve">Draft not created — refresh loses everything</t>
  </si>
  <si>
    <t xml:space="preserve">Chooses intent, segment and type</t>
  </si>
  <si>
    <t xml:space="preserve">Basics</t>
  </si>
  <si>
    <t xml:space="preserve">Field set for later steps is configured</t>
  </si>
  <si>
    <t xml:space="preserve">Wrong field set shown for the chosen type</t>
  </si>
  <si>
    <t xml:space="preserve">Enters location and drags the pin</t>
  </si>
  <si>
    <t xml:space="preserve">Location</t>
  </si>
  <si>
    <t xml:space="preserve">Pin validated against the locality boundary</t>
  </si>
  <si>
    <t xml:space="preserve">Pin far from the selected locality; locality missing from the gazetteer</t>
  </si>
  <si>
    <t xml:space="preserve">Fills configuration and areas</t>
  </si>
  <si>
    <t xml:space="preserve">Property profile</t>
  </si>
  <si>
    <t xml:space="preserve">Areas captured separately by basis</t>
  </si>
  <si>
    <t xml:space="preserve">Carpet and super area conflated — corrupts price per sqft</t>
  </si>
  <si>
    <t xml:space="preserve">Selects amenities</t>
  </si>
  <si>
    <t xml:space="preserve">Amenities saved</t>
  </si>
  <si>
    <t xml:space="preserve">Flow I</t>
  </si>
  <si>
    <t xml:space="preserve">Overlong amenity list causing drop-off</t>
  </si>
  <si>
    <t xml:space="preserve">I. Seller saves a draft</t>
  </si>
  <si>
    <t xml:space="preserve">Leaves the form mid-way</t>
  </si>
  <si>
    <t xml:space="preserve">Any wizard step</t>
  </si>
  <si>
    <t xml:space="preserve">Progress autosaved to the draft</t>
  </si>
  <si>
    <t xml:space="preserve">Autosave failing silently</t>
  </si>
  <si>
    <t xml:space="preserve">Returns later</t>
  </si>
  <si>
    <t xml:space="preserve">Dashboard — My listings</t>
  </si>
  <si>
    <t xml:space="preserve">Draft listed with a Resume action</t>
  </si>
  <si>
    <t xml:space="preserve">Draft not visible in the dashboard</t>
  </si>
  <si>
    <t xml:space="preserve">Resumes the draft</t>
  </si>
  <si>
    <t xml:space="preserve">Wizard</t>
  </si>
  <si>
    <t xml:space="preserve">Reopens at the last completed step with data intact</t>
  </si>
  <si>
    <t xml:space="preserve">Flow J</t>
  </si>
  <si>
    <t xml:space="preserve">Reopening at step 1 and losing entered data</t>
  </si>
  <si>
    <t xml:space="preserve">J. Seller uploads photos</t>
  </si>
  <si>
    <t xml:space="preserve">Selects photos</t>
  </si>
  <si>
    <t xml:space="preserve">Media step</t>
  </si>
  <si>
    <t xml:space="preserve">Images compressed in the browser</t>
  </si>
  <si>
    <t xml:space="preserve">Very large files failing on mobile data</t>
  </si>
  <si>
    <t xml:space="preserve">Uploads</t>
  </si>
  <si>
    <t xml:space="preserve">Direct presigned upload with per-file progress</t>
  </si>
  <si>
    <t xml:space="preserve">Upload failure with no retry; unsupported format</t>
  </si>
  <si>
    <t xml:space="preserve">Processes images</t>
  </si>
  <si>
    <t xml:space="preserve">Variants generated, EXIF stripped, fingerprint computed</t>
  </si>
  <si>
    <t xml:space="preserve">Processing backlog delaying publication</t>
  </si>
  <si>
    <t xml:space="preserve">Reorders and sets the main photo</t>
  </si>
  <si>
    <t xml:space="preserve">Order saved</t>
  </si>
  <si>
    <t xml:space="preserve">Flow K</t>
  </si>
  <si>
    <t xml:space="preserve">Order not persisting</t>
  </si>
  <si>
    <t xml:space="preserve">Screens the images</t>
  </si>
  <si>
    <t xml:space="preserve">Contact details or watermarks detected and flagged</t>
  </si>
  <si>
    <t xml:space="preserve">False positives blocking genuine photos</t>
  </si>
  <si>
    <t xml:space="preserve">K. Seller previews the listing</t>
  </si>
  <si>
    <t xml:space="preserve">Presses Preview</t>
  </si>
  <si>
    <t xml:space="preserve">Full public rendering shown</t>
  </si>
  <si>
    <t xml:space="preserve">Preview differing from the live page</t>
  </si>
  <si>
    <t xml:space="preserve">Reviews the completeness score</t>
  </si>
  <si>
    <t xml:space="preserve">Preview</t>
  </si>
  <si>
    <t xml:space="preserve">Score shown with the highest-value missing fields</t>
  </si>
  <si>
    <t xml:space="preserve">Score not explaining what to improve</t>
  </si>
  <si>
    <t xml:space="preserve">Edits or continues</t>
  </si>
  <si>
    <t xml:space="preserve">Returns to the relevant step or proceeds</t>
  </si>
  <si>
    <t xml:space="preserve">Flow L</t>
  </si>
  <si>
    <t xml:space="preserve">Edits lost when returning to preview</t>
  </si>
  <si>
    <t xml:space="preserve">L. Seller publishes the listing</t>
  </si>
  <si>
    <t xml:space="preserve">Presses Publish</t>
  </si>
  <si>
    <t xml:space="preserve">Quota checked</t>
  </si>
  <si>
    <t xml:space="preserve">Over quota — must explain the limit and the options clearly</t>
  </si>
  <si>
    <t xml:space="preserve">Moves to screening</t>
  </si>
  <si>
    <t xml:space="preserve">Status set to UNDER_SCREENING; moderation task created</t>
  </si>
  <si>
    <t xml:space="preserve">Seller not told that review is pending</t>
  </si>
  <si>
    <t xml:space="preserve">Runs automated checks</t>
  </si>
  <si>
    <t xml:space="preserve">Duplicate, contact-info and price-sanity checks run</t>
  </si>
  <si>
    <t xml:space="preserve">False positive rejecting a genuine listing</t>
  </si>
  <si>
    <t xml:space="preserve">Reviews if flagged</t>
  </si>
  <si>
    <t xml:space="preserve">Admin moderation</t>
  </si>
  <si>
    <t xml:space="preserve">Approved or rejected with a specific reason</t>
  </si>
  <si>
    <t xml:space="preserve">Slow review leaving sellers waiting</t>
  </si>
  <si>
    <t xml:space="preserve">Publishes</t>
  </si>
  <si>
    <t xml:space="preserve">Status ACTIVE; indexed for search; sitemap updated</t>
  </si>
  <si>
    <t xml:space="preserve">Listing live but not appearing in search — indexing lag</t>
  </si>
  <si>
    <t xml:space="preserve">M. Seller manages a listing</t>
  </si>
  <si>
    <t xml:space="preserve">Opens My Listings</t>
  </si>
  <si>
    <t xml:space="preserve">Dashboard</t>
  </si>
  <si>
    <t xml:space="preserve">Listings grouped by lifecycle state</t>
  </si>
  <si>
    <t xml:space="preserve">States unclear to a non-technical seller</t>
  </si>
  <si>
    <t xml:space="preserve">Edits a listing</t>
  </si>
  <si>
    <t xml:space="preserve">Edit form</t>
  </si>
  <si>
    <t xml:space="preserve">Material changes re-enter screening</t>
  </si>
  <si>
    <t xml:space="preserve">Price changes bypassing review</t>
  </si>
  <si>
    <t xml:space="preserve">Marks it sold or rented</t>
  </si>
  <si>
    <t xml:space="preserve">Listing closed and removed from search</t>
  </si>
  <si>
    <t xml:space="preserve">Sold listings staying live — the top trust complaint</t>
  </si>
  <si>
    <t xml:space="preserve">Renews before expiry</t>
  </si>
  <si>
    <t xml:space="preserve">Expiry extended; freshness updated</t>
  </si>
  <si>
    <t xml:space="preserve">No renewal reminder sent before expiry</t>
  </si>
  <si>
    <t xml:space="preserve">N. Admin reviews a listing</t>
  </si>
  <si>
    <t xml:space="preserve">Opens the moderation queue</t>
  </si>
  <si>
    <t xml:space="preserve">Pending listings listed oldest first</t>
  </si>
  <si>
    <t xml:space="preserve">Queue growing faster than review capacity</t>
  </si>
  <si>
    <t xml:space="preserve">Opens a listing</t>
  </si>
  <si>
    <t xml:space="preserve">Listing shown with automated check results</t>
  </si>
  <si>
    <t xml:space="preserve">Check results not surfaced to the reviewer</t>
  </si>
  <si>
    <t xml:space="preserve">Approves or rejects</t>
  </si>
  <si>
    <t xml:space="preserve">Decision applied and logged to the audit trail</t>
  </si>
  <si>
    <t xml:space="preserve">Decision made without a recorded reason</t>
  </si>
  <si>
    <t xml:space="preserve">Notifies the seller</t>
  </si>
  <si>
    <t xml:space="preserve">Seller told the outcome and, if rejected, exactly why</t>
  </si>
  <si>
    <t xml:space="preserve">Generic rejection message causing support load</t>
  </si>
  <si>
    <t xml:space="preserve">O. Admin handles a reported listing</t>
  </si>
  <si>
    <t xml:space="preserve">Reports a listing</t>
  </si>
  <si>
    <t xml:space="preserve">Report created with a reason and an SLA timer</t>
  </si>
  <si>
    <t xml:space="preserve">Report form too hidden to be used</t>
  </si>
  <si>
    <t xml:space="preserve">Triages</t>
  </si>
  <si>
    <t xml:space="preserve">Auto-flags repeat-reported listings for priority review</t>
  </si>
  <si>
    <t xml:space="preserve">High-volume reports overwhelming the queue</t>
  </si>
  <si>
    <t xml:space="preserve">Investigates</t>
  </si>
  <si>
    <t xml:space="preserve">Admin reports</t>
  </si>
  <si>
    <t xml:space="preserve">Listing, seller history and prior reports shown together</t>
  </si>
  <si>
    <t xml:space="preserve">Deciding without seller context</t>
  </si>
  <si>
    <t xml:space="preserve">Acts</t>
  </si>
  <si>
    <t xml:space="preserve">Listing removed, seller warned, or report dismissed</t>
  </si>
  <si>
    <t xml:space="preserve">Action not logged in the audit trail</t>
  </si>
  <si>
    <t xml:space="preserve">Closes the loop</t>
  </si>
  <si>
    <t xml:space="preserve">Reporter informed; seller informed if action was taken</t>
  </si>
  <si>
    <t xml:space="preserve">Reporter never hearing back, so stops reporting</t>
  </si>
  <si>
    <t xml:space="preserve">DATABASE — proposed tables and what each one is for</t>
  </si>
  <si>
    <t xml:space="preserve">An ORIGINAL conceptual schema derived from the observed functionality. Build only the MVP tables first. 'PostGIS?' marks tables needing map/location capability.</t>
  </si>
  <si>
    <t xml:space="preserve">Table</t>
  </si>
  <si>
    <t xml:space="preserve">Important Fields</t>
  </si>
  <si>
    <t xml:space="preserve">Relationships</t>
  </si>
  <si>
    <t xml:space="preserve">Indexes</t>
  </si>
  <si>
    <t xml:space="preserve">PostGIS?</t>
  </si>
  <si>
    <t xml:space="preserve">Every person on the platform: buyer, seller, agent, builder or admin.</t>
  </si>
  <si>
    <t xml:space="preserve">id, public_id, phone (unique, verified_at), email, name, roles[], status, preferred_city_id, created_at, deleted_at</t>
  </si>
  <si>
    <t xml:space="preserve">1:1 AGENT_PROFILE / BUILDER_PROFILE; 1:N PROPERTY, INQUIRY, FAVORITE</t>
  </si>
  <si>
    <t xml:space="preserve">phone (unique), email (unique), status</t>
  </si>
  <si>
    <t xml:space="preserve">Extra details for users acting as agents.</t>
  </si>
  <si>
    <t xml:space="preserve">user_id, agency_name, slug, rera_agent_id, verified_status, areas_served[], rating, response_rate</t>
  </si>
  <si>
    <t xml:space="preserve">1:1 USER</t>
  </si>
  <si>
    <t xml:space="preserve">user_id (unique), slug (unique)</t>
  </si>
  <si>
    <t xml:space="preserve">FUTURE (v1.4)</t>
  </si>
  <si>
    <t xml:space="preserve">Extra details for developer accounts.</t>
  </si>
  <si>
    <t xml:space="preserve">user_id, name, slug, logo_media_id, established_year, rera_ids[], verified_status</t>
  </si>
  <si>
    <t xml:space="preserve">1:1 USER; 1:N PROJECT</t>
  </si>
  <si>
    <t xml:space="preserve">FUTURE (v1.5)</t>
  </si>
  <si>
    <t xml:space="preserve">The place hierarchy: country, state, city, zone, locality, society. The most important table in the system.</t>
  </si>
  <si>
    <t xml:space="preserve">id, public_id, parent_id, type, name, slug, full_slug, centroid, boundary, pincode, aliases[], listing_count, is_active</t>
  </si>
  <si>
    <t xml:space="preserve">Self-referencing tree; 1:N PROPERTY</t>
  </si>
  <si>
    <t xml:space="preserve">parent_id+type+is_active, slug, GIST(centroid), GIST(boundary)</t>
  </si>
  <si>
    <t xml:space="preserve">YES</t>
  </si>
  <si>
    <t xml:space="preserve">A listing. The central fact table.</t>
  </si>
  <si>
    <t xml:space="preserve">id, public_id, slug, owner_user_id, posted_by, intent, segment, property_type_id, location_id, geo, geo_precision, bedrooms, bathrooms, carpet_area, builtup_area, super_area, area_unit, price, status, is_verified, completeness_score, published_at, expires_at</t>
  </si>
  <si>
    <t xml:space="preserve">N:1 USER, LOCATION, PROPERTY_TYPE; 1:N PROPERTY_MEDIA, INQUIRY, PRICE_HISTORY; M:N AMENITY</t>
  </si>
  <si>
    <t xml:space="preserve">(status,intent,segment,location_id,price) WHERE ACTIVE; GIST(geo); (published_at DESC); (owner_user_id,status)</t>
  </si>
  <si>
    <t xml:space="preserve">Photos, videos and floor plans for a listing. One table with a kind discriminator.</t>
  </si>
  <si>
    <t xml:space="preserve">id, property_id, kind, storage_key, cdn_url, width, height, sort_order, is_primary, phash, moderation_status</t>
  </si>
  <si>
    <t xml:space="preserve">N:1 PROPERTY</t>
  </si>
  <si>
    <t xml:space="preserve">(property_id, sort_order), phash</t>
  </si>
  <si>
    <t xml:space="preserve">PROPERTY_TYPE</t>
  </si>
  <si>
    <t xml:space="preserve">Reference list of property types and the fields each requires.</t>
  </si>
  <si>
    <t xml:space="preserve">id, code, name, segment, required_fields[], is_active</t>
  </si>
  <si>
    <t xml:space="preserve">1:N PROPERTY</t>
  </si>
  <si>
    <t xml:space="preserve">code (unique)</t>
  </si>
  <si>
    <t xml:space="preserve">AMENITY</t>
  </si>
  <si>
    <t xml:space="preserve">Reference list of amenities, grouped and filterable.</t>
  </si>
  <si>
    <t xml:space="preserve">id, code, name, category, applies_to_segments[], is_filterable, sort_order</t>
  </si>
  <si>
    <t xml:space="preserve">M:N PROPERTY via PROPERTY_AMENITY</t>
  </si>
  <si>
    <t xml:space="preserve">PROPERTY_AMENITY</t>
  </si>
  <si>
    <t xml:space="preserve">Join table linking listings to amenities, with an optional value.</t>
  </si>
  <si>
    <t xml:space="preserve">property_id, amenity_id, value</t>
  </si>
  <si>
    <t xml:space="preserve">N:N join</t>
  </si>
  <si>
    <t xml:space="preserve">(property_id), (amenity_id)</t>
  </si>
  <si>
    <t xml:space="preserve">A lead. The monetisable event — model it explicitly from day one.</t>
  </si>
  <si>
    <t xml:space="preserve">id, property_id, from_user_id, to_user_id, type (QUERY/CONTACT_VIEW/CALLBACK/VISIT), contact_snapshot, source_surface, is_billable, dedupe_key, seller_status, seller_notes, created_at</t>
  </si>
  <si>
    <t xml:space="preserve">N:1 PROPERTY, USER (from and to)</t>
  </si>
  <si>
    <t xml:space="preserve">(to_user_id, created_at DESC), dedupe_key (UNIQUE)</t>
  </si>
  <si>
    <t xml:space="preserve">A buyer's saved listing.</t>
  </si>
  <si>
    <t xml:space="preserve">user_id, property_id, created_at, note</t>
  </si>
  <si>
    <t xml:space="preserve">N:N USER-PROPERTY</t>
  </si>
  <si>
    <t xml:space="preserve">PK (user_id, property_id), (property_id)</t>
  </si>
  <si>
    <t xml:space="preserve">A stored search with optional alerts. Stores the filter object, not the URL.</t>
  </si>
  <si>
    <t xml:space="preserve">id, user_id, name, filter_json, canonical_url, alert_frequency, last_run_at, last_seen_max_id</t>
  </si>
  <si>
    <t xml:space="preserve">N:1 USER</t>
  </si>
  <si>
    <t xml:space="preserve">(user_id), (alert_frequency, last_run_at)</t>
  </si>
  <si>
    <t xml:space="preserve">FUTURE (v1.1)</t>
  </si>
  <si>
    <t xml:space="preserve">Append-only analytics of what people searched and clicked.</t>
  </si>
  <si>
    <t xml:space="preserve">id, user_id/anon_id, filter_json, result_count, surface, latency_ms, clicked_property_ids[], executed_at</t>
  </si>
  <si>
    <t xml:space="preserve">N:1 USER (nullable)</t>
  </si>
  <si>
    <t xml:space="preserve">(executed_at), (user_id)</t>
  </si>
  <si>
    <t xml:space="preserve">OTP_CHALLENGE</t>
  </si>
  <si>
    <t xml:space="preserve">Short-lived one-time codes for phone verification.</t>
  </si>
  <si>
    <t xml:space="preserve">id, phone, code_hash, purpose, attempts, expires_at, consumed_at</t>
  </si>
  <si>
    <t xml:space="preserve">(phone, expires_at)</t>
  </si>
  <si>
    <t xml:space="preserve">SESSION</t>
  </si>
  <si>
    <t xml:space="preserve">Refresh-token records so sessions can be revoked.</t>
  </si>
  <si>
    <t xml:space="preserve">id, user_id, refresh_token_hash, device, ip, expires_at, revoked_at</t>
  </si>
  <si>
    <t xml:space="preserve">(user_id), refresh_token_hash (unique)</t>
  </si>
  <si>
    <t xml:space="preserve">MODERATION_TASK</t>
  </si>
  <si>
    <t xml:space="preserve">An item awaiting human review.</t>
  </si>
  <si>
    <t xml:space="preserve">id, property_id, reason, auto_check_results, assigned_to, status, decision, decision_reason, created_at, resolved_at</t>
  </si>
  <si>
    <t xml:space="preserve">N:1 PROPERTY, USER</t>
  </si>
  <si>
    <t xml:space="preserve">(status, created_at), (property_id)</t>
  </si>
  <si>
    <t xml:space="preserve">A user-submitted abuse report.</t>
  </si>
  <si>
    <t xml:space="preserve">id, property_id, reporter_user_id, reason_code, details, status, sla_due_at, resolved_at</t>
  </si>
  <si>
    <t xml:space="preserve">(status, sla_due_at), (property_id)</t>
  </si>
  <si>
    <t xml:space="preserve">A request to verify a listing, with captured evidence.</t>
  </si>
  <si>
    <t xml:space="preserve">id, property_id, method, captured_geo, captured_at, evidence_media_ids[], status, reviewed_by</t>
  </si>
  <si>
    <t xml:space="preserve">(property_id), (status)</t>
  </si>
  <si>
    <t xml:space="preserve">YES (captured_geo)</t>
  </si>
  <si>
    <t xml:space="preserve">Immutable record of administrative and sensitive actions.</t>
  </si>
  <si>
    <t xml:space="preserve">id, actor_user_id, action, entity_type, entity_id, before, after, ip, created_at</t>
  </si>
  <si>
    <t xml:space="preserve">(entity_type, entity_id), (actor_user_id, created_at)</t>
  </si>
  <si>
    <t xml:space="preserve">Queued and sent notifications across channels.</t>
  </si>
  <si>
    <t xml:space="preserve">id, user_id, channel, template, payload, status, sent_at, read_at</t>
  </si>
  <si>
    <t xml:space="preserve">(user_id, created_at DESC), (status)</t>
  </si>
  <si>
    <t xml:space="preserve">PRICE_HISTORY</t>
  </si>
  <si>
    <t xml:space="preserve">Every price change on a listing, for 'price reduced' badges.</t>
  </si>
  <si>
    <t xml:space="preserve">id, property_id, old_price, new_price, change_pct, changed_at</t>
  </si>
  <si>
    <t xml:space="preserve">(property_id, changed_at DESC)</t>
  </si>
  <si>
    <t xml:space="preserve">MVP (cheap, enables a high-converting badge)</t>
  </si>
  <si>
    <t xml:space="preserve">A new-construction development.</t>
  </si>
  <si>
    <t xml:space="preserve">id, public_id, builder_user_id, name, slug, location_id, geo, status, possession_date, rera_ids[], price_min, price_max</t>
  </si>
  <si>
    <t xml:space="preserve">N:1 BUILDER_PROFILE, LOCATION; 1:N PROJECT_CONFIGURATION</t>
  </si>
  <si>
    <t xml:space="preserve">(location_id, status), slug (unique), GIST(geo)</t>
  </si>
  <si>
    <t xml:space="preserve">PROJECT_CONFIGURATION</t>
  </si>
  <si>
    <t xml:space="preserve">A unit type within a project (e.g. 3 BHK, 1450 sqft).</t>
  </si>
  <si>
    <t xml:space="preserve">id, project_id, property_type_id, bedrooms, carpet_area, super_area, price_min, price_max, floor_plan_media_id</t>
  </si>
  <si>
    <t xml:space="preserve">N:1 PROJECT</t>
  </si>
  <si>
    <t xml:space="preserve">(project_id)</t>
  </si>
  <si>
    <t xml:space="preserve">A resident review of a locality, society, project, agent or builder.</t>
  </si>
  <si>
    <t xml:space="preserve">id, author_user_id, subject_type, subject_id, overall_rating, ratings{environment,lifestyle,connectivity,safety}, body, resident_status, status</t>
  </si>
  <si>
    <t xml:space="preserve">N:1 USER; polymorphic subject</t>
  </si>
  <si>
    <t xml:space="preserve">(subject_type, subject_id, status)</t>
  </si>
  <si>
    <t xml:space="preserve">FUTURE (v2.0)</t>
  </si>
  <si>
    <t xml:space="preserve">LOCALITY_STATS</t>
  </si>
  <si>
    <t xml:space="preserve">Monthly price statistics per locality and property type.</t>
  </si>
  <si>
    <t xml:space="preserve">id, location_id, property_type_id, transaction_type, period_month, median_price_per_unit_area, p25, p75, sample_size, yoy_change_pct</t>
  </si>
  <si>
    <t xml:space="preserve">N:1 LOCATION</t>
  </si>
  <si>
    <t xml:space="preserve">(location_id, property_type_id, transaction_type, period_month DESC)</t>
  </si>
  <si>
    <t xml:space="preserve">FUTURE (v2.0) — enforce a minimum sample_size before publishing</t>
  </si>
  <si>
    <t xml:space="preserve">PLAN</t>
  </si>
  <si>
    <t xml:space="preserve">A purchasable package definition.</t>
  </si>
  <si>
    <t xml:space="preserve">id, code, audience, name, price, duration_days, listing_quota, featured_quota, lead_quota</t>
  </si>
  <si>
    <t xml:space="preserve">1:N SUBSCRIPTION</t>
  </si>
  <si>
    <t xml:space="preserve">FUTURE (v1.3)</t>
  </si>
  <si>
    <t xml:space="preserve">SUBSCRIPTION</t>
  </si>
  <si>
    <t xml:space="preserve">A user's active plan.</t>
  </si>
  <si>
    <t xml:space="preserve">id, user_id, plan_id, status, starts_at, ends_at, auto_renew, payment_id</t>
  </si>
  <si>
    <t xml:space="preserve">N:1 USER, PLAN</t>
  </si>
  <si>
    <t xml:space="preserve">(user_id, status), (ends_at)</t>
  </si>
  <si>
    <t xml:space="preserve">A payment attempt and its outcome.</t>
  </si>
  <si>
    <t xml:space="preserve">id, user_id, subscription_id, amount, currency, gateway, gateway_ref, status, invoice_number, gst_amount</t>
  </si>
  <si>
    <t xml:space="preserve">N:1 USER, SUBSCRIPTION</t>
  </si>
  <si>
    <t xml:space="preserve">(user_id), gateway_ref (unique)</t>
  </si>
  <si>
    <t xml:space="preserve">Append-only record of quota consumption. Never a mutable counter.</t>
  </si>
  <si>
    <t xml:space="preserve">id, subscription_id, quota_type, delta, balance_after, reason, ref_id, created_at</t>
  </si>
  <si>
    <t xml:space="preserve">N:1 SUBSCRIPTION</t>
  </si>
  <si>
    <t xml:space="preserve">(subscription_id, created_at)</t>
  </si>
  <si>
    <t xml:space="preserve">MVP (free quota) / extended in v1.3</t>
  </si>
  <si>
    <t xml:space="preserve">A paid placement applied to a listing.</t>
  </si>
  <si>
    <t xml:space="preserve">id, property_id, subscription_id, kind, starts_at, ends_at, placement_scope, priority</t>
  </si>
  <si>
    <t xml:space="preserve">N:1 PROPERTY, SUBSCRIPTION</t>
  </si>
  <si>
    <t xml:space="preserve">(property_id, ends_at), (kind, placement_scope)</t>
  </si>
  <si>
    <t xml:space="preserve">PLACE_SUGGEST</t>
  </si>
  <si>
    <t xml:space="preserve">Denormalised autocomplete table. Never run typeahead against PROPERTY.</t>
  </si>
  <si>
    <t xml:space="preserve">id, location_id, type, label, parent_path, popularity, listing_count</t>
  </si>
  <si>
    <t xml:space="preserve">trigram index on label, (popularity DESC)</t>
  </si>
  <si>
    <t xml:space="preserve">OUTBOX</t>
  </si>
  <si>
    <t xml:space="preserve">Transactional outbox so events are published reliably.</t>
  </si>
  <si>
    <t xml:space="preserve">id, aggregate_type, aggregate_id, event_type, payload, published_at, created_at</t>
  </si>
  <si>
    <t xml:space="preserve">(published_at NULLS FIRST, created_at)</t>
  </si>
  <si>
    <t xml:space="preserve">API CHECKLIST — the planned endpoints (do NOT build these yet)</t>
  </si>
  <si>
    <t xml:space="preserve">This is the plan, not an instruction to start coding. 'Error Cases' matter as much as the success path — they are what makes an API feel reliable.</t>
  </si>
  <si>
    <t xml:space="preserve">API ID</t>
  </si>
  <si>
    <t xml:space="preserve">Module</t>
  </si>
  <si>
    <t xml:space="preserve">Method</t>
  </si>
  <si>
    <t xml:space="preserve">Endpoint</t>
  </si>
  <si>
    <t xml:space="preserve">Request</t>
  </si>
  <si>
    <t xml:space="preserve">Response</t>
  </si>
  <si>
    <t xml:space="preserve">Error Cases</t>
  </si>
  <si>
    <t xml:space="preserve">Database Tables</t>
  </si>
  <si>
    <t xml:space="preserve">API-01</t>
  </si>
  <si>
    <t xml:space="preserve">Auth</t>
  </si>
  <si>
    <t xml:space="preserve">POST</t>
  </si>
  <si>
    <t xml:space="preserve">/auth/otp/request</t>
  </si>
  <si>
    <t xml:space="preserve">Send a one-time code to a phone number.</t>
  </si>
  <si>
    <t xml:space="preserve">Public</t>
  </si>
  <si>
    <t xml:space="preserve">{phone, purpose}</t>
  </si>
  <si>
    <t xml:space="preserve">{challenge_id, expires_in}</t>
  </si>
  <si>
    <t xml:space="preserve">429 rate limited; 400 invalid phone; 503 SMS provider down</t>
  </si>
  <si>
    <t xml:space="preserve">API-02</t>
  </si>
  <si>
    <t xml:space="preserve">/auth/otp/verify</t>
  </si>
  <si>
    <t xml:space="preserve">Verify the code and issue a session.</t>
  </si>
  <si>
    <t xml:space="preserve">{challenge_id, code}</t>
  </si>
  <si>
    <t xml:space="preserve">{access_token, refresh_token, user}</t>
  </si>
  <si>
    <t xml:space="preserve">400 wrong code; 410 expired; 429 too many attempts</t>
  </si>
  <si>
    <t xml:space="preserve">OTP_CHALLENGE, USER, SESSION</t>
  </si>
  <si>
    <t xml:space="preserve">API-03</t>
  </si>
  <si>
    <t xml:space="preserve">/auth/refresh</t>
  </si>
  <si>
    <t xml:space="preserve">Exchange a refresh token for a new access token.</t>
  </si>
  <si>
    <t xml:space="preserve">Refresh token</t>
  </si>
  <si>
    <t xml:space="preserve">{refresh_token}</t>
  </si>
  <si>
    <t xml:space="preserve">{access_token, refresh_token}</t>
  </si>
  <si>
    <t xml:space="preserve">401 invalid; 403 reuse detected (revoke all)</t>
  </si>
  <si>
    <t xml:space="preserve">API-04</t>
  </si>
  <si>
    <t xml:space="preserve">/auth/logout</t>
  </si>
  <si>
    <t xml:space="preserve">End the current session.</t>
  </si>
  <si>
    <t xml:space="preserve">Bearer</t>
  </si>
  <si>
    <t xml:space="preserve">{}</t>
  </si>
  <si>
    <t xml:space="preserve">204</t>
  </si>
  <si>
    <t xml:space="preserve">401 unauthenticated</t>
  </si>
  <si>
    <t xml:space="preserve">API-05</t>
  </si>
  <si>
    <t xml:space="preserve">User</t>
  </si>
  <si>
    <t xml:space="preserve">GET</t>
  </si>
  <si>
    <t xml:space="preserve">/me</t>
  </si>
  <si>
    <t xml:space="preserve">Return the signed-in user's profile.</t>
  </si>
  <si>
    <t xml:space="preserve">{user}</t>
  </si>
  <si>
    <t xml:space="preserve">401</t>
  </si>
  <si>
    <t xml:space="preserve">API-06</t>
  </si>
  <si>
    <t xml:space="preserve">PATCH</t>
  </si>
  <si>
    <t xml:space="preserve">Update profile details.</t>
  </si>
  <si>
    <t xml:space="preserve">{name, email}</t>
  </si>
  <si>
    <t xml:space="preserve">400 validation; 409 email taken</t>
  </si>
  <si>
    <t xml:space="preserve">API-07</t>
  </si>
  <si>
    <t xml:space="preserve">/me/phone/change</t>
  </si>
  <si>
    <t xml:space="preserve">Change phone number with re-verification.</t>
  </si>
  <si>
    <t xml:space="preserve">{new_phone, challenge_id, code}</t>
  </si>
  <si>
    <t xml:space="preserve">400; 409 number in use</t>
  </si>
  <si>
    <t xml:space="preserve">USER, OTP_CHALLENGE, SESSION</t>
  </si>
  <si>
    <t xml:space="preserve">API-08</t>
  </si>
  <si>
    <t xml:space="preserve">/me/delete</t>
  </si>
  <si>
    <t xml:space="preserve">Request account deletion (data-protection right).</t>
  </si>
  <si>
    <t xml:space="preserve">{reason}</t>
  </si>
  <si>
    <t xml:space="preserve">{request_id, effective_at}</t>
  </si>
  <si>
    <t xml:space="preserve">401; 409 active obligations</t>
  </si>
  <si>
    <t xml:space="preserve">API-09</t>
  </si>
  <si>
    <t xml:space="preserve">Places</t>
  </si>
  <si>
    <t xml:space="preserve">/places/suggest</t>
  </si>
  <si>
    <t xml:space="preserve">Autocomplete cities, localities and societies.</t>
  </si>
  <si>
    <t xml:space="preserve">?q=&amp;limit=&amp;city_id=</t>
  </si>
  <si>
    <t xml:space="preserve">[{id, type, label, path, listing_count}]</t>
  </si>
  <si>
    <t xml:space="preserve">400 query too short</t>
  </si>
  <si>
    <t xml:space="preserve">API-10</t>
  </si>
  <si>
    <t xml:space="preserve">/places/{id}</t>
  </si>
  <si>
    <t xml:space="preserve">Return a place and its ancestors.</t>
  </si>
  <si>
    <t xml:space="preserve">{place, ancestors[]}</t>
  </si>
  <si>
    <t xml:space="preserve">404</t>
  </si>
  <si>
    <t xml:space="preserve">API-11</t>
  </si>
  <si>
    <t xml:space="preserve">/search</t>
  </si>
  <si>
    <t xml:space="preserve">Return filtered, sorted, paginated listings.</t>
  </si>
  <si>
    <t xml:space="preserve">Normalised filter params + sort + page</t>
  </si>
  <si>
    <t xml:space="preserve">{results[], total, page, facets_summary}</t>
  </si>
  <si>
    <t xml:space="preserve">400 invalid filter; 422 unknown place</t>
  </si>
  <si>
    <t xml:space="preserve">API-12</t>
  </si>
  <si>
    <t xml:space="preserve">/search/facets</t>
  </si>
  <si>
    <t xml:space="preserve">Return option counts for the current filter set.</t>
  </si>
  <si>
    <t xml:space="preserve">Same filter params</t>
  </si>
  <si>
    <t xml:space="preserve">{facets: {field: [{value, count}]}}</t>
  </si>
  <si>
    <t xml:space="preserve">400 invalid filter</t>
  </si>
  <si>
    <t xml:space="preserve">API-13</t>
  </si>
  <si>
    <t xml:space="preserve">/search/count</t>
  </si>
  <si>
    <t xml:space="preserve">Fast count only, for the Apply button and titles.</t>
  </si>
  <si>
    <t xml:space="preserve">{total}</t>
  </si>
  <si>
    <t xml:space="preserve">400</t>
  </si>
  <si>
    <t xml:space="preserve">API-14</t>
  </si>
  <si>
    <t xml:space="preserve">/search/map</t>
  </si>
  <si>
    <t xml:space="preserve">Listings within a map bounding box, clustered.</t>
  </si>
  <si>
    <t xml:space="preserve">?bbox=&amp;zoom=&amp;filters</t>
  </si>
  <si>
    <t xml:space="preserve">{clusters[], listings[]}</t>
  </si>
  <si>
    <t xml:space="preserve">400 bbox too large</t>
  </si>
  <si>
    <t xml:space="preserve">API-15</t>
  </si>
  <si>
    <t xml:space="preserve">/properties/{public_id}</t>
  </si>
  <si>
    <t xml:space="preserve">Full detail for one listing.</t>
  </si>
  <si>
    <t xml:space="preserve">{property, media[], amenities[], seller_summary}</t>
  </si>
  <si>
    <t xml:space="preserve">404; 410 expired</t>
  </si>
  <si>
    <t xml:space="preserve">API-16</t>
  </si>
  <si>
    <t xml:space="preserve">/properties/{public_id}/similar</t>
  </si>
  <si>
    <t xml:space="preserve">Comparable listings.</t>
  </si>
  <si>
    <t xml:space="preserve">?limit=</t>
  </si>
  <si>
    <t xml:space="preserve">{results[]}</t>
  </si>
  <si>
    <t xml:space="preserve">MVP (see D-14)</t>
  </si>
  <si>
    <t xml:space="preserve">API-17</t>
  </si>
  <si>
    <t xml:space="preserve">Listing</t>
  </si>
  <si>
    <t xml:space="preserve">/listings</t>
  </si>
  <si>
    <t xml:space="preserve">Create a draft listing.</t>
  </si>
  <si>
    <t xml:space="preserve">Bearer (seller)</t>
  </si>
  <si>
    <t xml:space="preserve">{intent, segment, property_type_id}</t>
  </si>
  <si>
    <t xml:space="preserve">{listing_id, status: DRAFT}</t>
  </si>
  <si>
    <t xml:space="preserve">401; 403 role; 429 quota</t>
  </si>
  <si>
    <t xml:space="preserve">API-18</t>
  </si>
  <si>
    <t xml:space="preserve">/listings/{id}</t>
  </si>
  <si>
    <t xml:space="preserve">Save a wizard step (autosave).</t>
  </si>
  <si>
    <t xml:space="preserve">Bearer (owner)</t>
  </si>
  <si>
    <t xml:space="preserve">Partial listing fields</t>
  </si>
  <si>
    <t xml:space="preserve">{listing}</t>
  </si>
  <si>
    <t xml:space="preserve">403 not owner; 400 validation</t>
  </si>
  <si>
    <t xml:space="preserve">API-19</t>
  </si>
  <si>
    <t xml:space="preserve">Read own listing including draft state.</t>
  </si>
  <si>
    <t xml:space="preserve">403; 404</t>
  </si>
  <si>
    <t xml:space="preserve">API-20</t>
  </si>
  <si>
    <t xml:space="preserve">/listings/{id}/publish</t>
  </si>
  <si>
    <t xml:space="preserve">Submit the listing for screening.</t>
  </si>
  <si>
    <t xml:space="preserve">{status: UNDER_SCREENING}</t>
  </si>
  <si>
    <t xml:space="preserve">403; 409 incomplete; 429 quota exceeded</t>
  </si>
  <si>
    <t xml:space="preserve">PROPERTY, QUOTA_LEDGER, MODERATION_TASK</t>
  </si>
  <si>
    <t xml:space="preserve">API-21</t>
  </si>
  <si>
    <t xml:space="preserve">DELETE</t>
  </si>
  <si>
    <t xml:space="preserve">Delete or withdraw a listing.</t>
  </si>
  <si>
    <t xml:space="preserve">API-22</t>
  </si>
  <si>
    <t xml:space="preserve">/listings/{id}/renew</t>
  </si>
  <si>
    <t xml:space="preserve">Extend a listing before expiry.</t>
  </si>
  <si>
    <t xml:space="preserve">{expires_at}</t>
  </si>
  <si>
    <t xml:space="preserve">403; 409 not renewable</t>
  </si>
  <si>
    <t xml:space="preserve">API-23</t>
  </si>
  <si>
    <t xml:space="preserve">/listings/mine</t>
  </si>
  <si>
    <t xml:space="preserve">List the seller's own listings by state.</t>
  </si>
  <si>
    <t xml:space="preserve">?status=&amp;page=</t>
  </si>
  <si>
    <t xml:space="preserve">{results[], counts_by_status}</t>
  </si>
  <si>
    <t xml:space="preserve">API-24</t>
  </si>
  <si>
    <t xml:space="preserve">Media</t>
  </si>
  <si>
    <t xml:space="preserve">/media/presign</t>
  </si>
  <si>
    <t xml:space="preserve">Get a presigned URL for direct upload.</t>
  </si>
  <si>
    <t xml:space="preserve">{listing_id, filename, content_type, bytes}</t>
  </si>
  <si>
    <t xml:space="preserve">{upload_url, storage_key, expires_in}</t>
  </si>
  <si>
    <t xml:space="preserve">403; 413 too large; 415 wrong type</t>
  </si>
  <si>
    <t xml:space="preserve">API-25</t>
  </si>
  <si>
    <t xml:space="preserve">/media/confirm</t>
  </si>
  <si>
    <t xml:space="preserve">Confirm an upload and queue processing.</t>
  </si>
  <si>
    <t xml:space="preserve">{listing_id, storage_key}</t>
  </si>
  <si>
    <t xml:space="preserve">{media_id, status: PROCESSING}</t>
  </si>
  <si>
    <t xml:space="preserve">PROPERTY_MEDIA, OUTBOX</t>
  </si>
  <si>
    <t xml:space="preserve">API-26</t>
  </si>
  <si>
    <t xml:space="preserve">/media/{id}</t>
  </si>
  <si>
    <t xml:space="preserve">Reorder, caption or set the primary image.</t>
  </si>
  <si>
    <t xml:space="preserve">{sort_order, is_primary, caption}</t>
  </si>
  <si>
    <t xml:space="preserve">{media}</t>
  </si>
  <si>
    <t xml:space="preserve">403</t>
  </si>
  <si>
    <t xml:space="preserve">API-27</t>
  </si>
  <si>
    <t xml:space="preserve">Remove a photo.</t>
  </si>
  <si>
    <t xml:space="preserve">403; 409 last remaining photo</t>
  </si>
  <si>
    <t xml:space="preserve">API-28</t>
  </si>
  <si>
    <t xml:space="preserve">Favorites</t>
  </si>
  <si>
    <t xml:space="preserve">/favorites</t>
  </si>
  <si>
    <t xml:space="preserve">Save a listing.</t>
  </si>
  <si>
    <t xml:space="preserve">{property_id}</t>
  </si>
  <si>
    <t xml:space="preserve">{saved: true}</t>
  </si>
  <si>
    <t xml:space="preserve">401; 409 already saved</t>
  </si>
  <si>
    <t xml:space="preserve">API-29</t>
  </si>
  <si>
    <t xml:space="preserve">/favorites/{property_id}</t>
  </si>
  <si>
    <t xml:space="preserve">Remove a saved listing.</t>
  </si>
  <si>
    <t xml:space="preserve">401; 404</t>
  </si>
  <si>
    <t xml:space="preserve">API-30</t>
  </si>
  <si>
    <t xml:space="preserve">List saved listings.</t>
  </si>
  <si>
    <t xml:space="preserve">?page=</t>
  </si>
  <si>
    <t xml:space="preserve">API-31</t>
  </si>
  <si>
    <t xml:space="preserve">/inquiries</t>
  </si>
  <si>
    <t xml:space="preserve">Send a written enquiry to a seller.</t>
  </si>
  <si>
    <t xml:space="preserve">{property_id, message, contact}</t>
  </si>
  <si>
    <t xml:space="preserve">{inquiry_id}</t>
  </si>
  <si>
    <t xml:space="preserve">401; 429 rate limited; 409 duplicate</t>
  </si>
  <si>
    <t xml:space="preserve">API-32</t>
  </si>
  <si>
    <t xml:space="preserve">/inquiries/reveal</t>
  </si>
  <si>
    <t xml:space="preserve">Record the lead and return seller contact details.</t>
  </si>
  <si>
    <t xml:space="preserve">Bearer + verified phone</t>
  </si>
  <si>
    <t xml:space="preserve">{seller_contact, inquiry_id}</t>
  </si>
  <si>
    <t xml:space="preserve">401; 403 phone unverified; 429 daily limit</t>
  </si>
  <si>
    <t xml:space="preserve">API-33</t>
  </si>
  <si>
    <t xml:space="preserve">/leads</t>
  </si>
  <si>
    <t xml:space="preserve">Seller's lead inbox.</t>
  </si>
  <si>
    <t xml:space="preserve">?type=&amp;status=&amp;page=</t>
  </si>
  <si>
    <t xml:space="preserve">{results[], counts}</t>
  </si>
  <si>
    <t xml:space="preserve">401; 403</t>
  </si>
  <si>
    <t xml:space="preserve">API-34</t>
  </si>
  <si>
    <t xml:space="preserve">/leads/{id}</t>
  </si>
  <si>
    <t xml:space="preserve">Update lead status or notes.</t>
  </si>
  <si>
    <t xml:space="preserve">{seller_status, seller_notes}</t>
  </si>
  <si>
    <t xml:space="preserve">{lead}</t>
  </si>
  <si>
    <t xml:space="preserve">API-35</t>
  </si>
  <si>
    <t xml:space="preserve">Stats</t>
  </si>
  <si>
    <t xml:space="preserve">/listings/{id}/stats</t>
  </si>
  <si>
    <t xml:space="preserve">Views, saves and contacts for one listing.</t>
  </si>
  <si>
    <t xml:space="preserve">?period=</t>
  </si>
  <si>
    <t xml:space="preserve">{views, saves, inquiries, reveals, series[]}</t>
  </si>
  <si>
    <t xml:space="preserve">API-36</t>
  </si>
  <si>
    <t xml:space="preserve">Events</t>
  </si>
  <si>
    <t xml:space="preserve">/events</t>
  </si>
  <si>
    <t xml:space="preserve">Record client-side analytics events.</t>
  </si>
  <si>
    <t xml:space="preserve">Public/Bearer</t>
  </si>
  <si>
    <t xml:space="preserve">{events[]}</t>
  </si>
  <si>
    <t xml:space="preserve">202</t>
  </si>
  <si>
    <t xml:space="preserve">400 malformed; 429</t>
  </si>
  <si>
    <t xml:space="preserve">API-37</t>
  </si>
  <si>
    <t xml:space="preserve">List listings awaiting review.</t>
  </si>
  <si>
    <t xml:space="preserve">{results[], queue_depth}</t>
  </si>
  <si>
    <t xml:space="preserve">API-38</t>
  </si>
  <si>
    <t xml:space="preserve">/admin/moderation/{id}/decision</t>
  </si>
  <si>
    <t xml:space="preserve">Approve or reject a listing with a reason.</t>
  </si>
  <si>
    <t xml:space="preserve">{decision, reason_code, notes}</t>
  </si>
  <si>
    <t xml:space="preserve">{status}</t>
  </si>
  <si>
    <t xml:space="preserve">403; 409 already decided</t>
  </si>
  <si>
    <t xml:space="preserve">MODERATION_TASK, PROPERTY, AUDIT_LOG</t>
  </si>
  <si>
    <t xml:space="preserve">API-39</t>
  </si>
  <si>
    <t xml:space="preserve">/reports</t>
  </si>
  <si>
    <t xml:space="preserve">Report a listing.</t>
  </si>
  <si>
    <t xml:space="preserve">{property_id, reason_code, details}</t>
  </si>
  <si>
    <t xml:space="preserve">{report_id}</t>
  </si>
  <si>
    <t xml:space="preserve">401; 429</t>
  </si>
  <si>
    <t xml:space="preserve">API-40</t>
  </si>
  <si>
    <t xml:space="preserve">List abuse reports by SLA urgency.</t>
  </si>
  <si>
    <t xml:space="preserve">API-41</t>
  </si>
  <si>
    <t xml:space="preserve">Verification</t>
  </si>
  <si>
    <t xml:space="preserve">/verification</t>
  </si>
  <si>
    <t xml:space="preserve">Submit captured evidence for listing verification.</t>
  </si>
  <si>
    <t xml:space="preserve">{listing_id, media_ids[], captured_geo, captured_at}</t>
  </si>
  <si>
    <t xml:space="preserve">{request_id, status}</t>
  </si>
  <si>
    <t xml:space="preserve">403; 422 location mismatch</t>
  </si>
  <si>
    <t xml:space="preserve">API-42</t>
  </si>
  <si>
    <t xml:space="preserve">Search and inspect accounts.</t>
  </si>
  <si>
    <t xml:space="preserve">?q=&amp;page=</t>
  </si>
  <si>
    <t xml:space="preserve">API-43</t>
  </si>
  <si>
    <t xml:space="preserve">/admin/users/{id}</t>
  </si>
  <si>
    <t xml:space="preserve">Suspend or restore an account.</t>
  </si>
  <si>
    <t xml:space="preserve">{status, reason}</t>
  </si>
  <si>
    <t xml:space="preserve">USER, AUDIT_LOG</t>
  </si>
  <si>
    <t xml:space="preserve">API-44</t>
  </si>
  <si>
    <t xml:space="preserve">Read the audit trail.</t>
  </si>
  <si>
    <t xml:space="preserve">?entity=&amp;actor=&amp;page=</t>
  </si>
  <si>
    <t xml:space="preserve">API-45</t>
  </si>
  <si>
    <t xml:space="preserve">Add or correct a place.</t>
  </si>
  <si>
    <t xml:space="preserve">{parent_id, type, name, centroid}</t>
  </si>
  <si>
    <t xml:space="preserve">{location}</t>
  </si>
  <si>
    <t xml:space="preserve">403; 409 duplicate</t>
  </si>
  <si>
    <t xml:space="preserve">LOCATION, AUDIT_LOG</t>
  </si>
  <si>
    <t xml:space="preserve">API-46</t>
  </si>
  <si>
    <t xml:space="preserve">/sitemap.xml</t>
  </si>
  <si>
    <t xml:space="preserve">Sitemap index for crawlers.</t>
  </si>
  <si>
    <t xml:space="preserve">XML</t>
  </si>
  <si>
    <t xml:space="preserve">API-47</t>
  </si>
  <si>
    <t xml:space="preserve">Saved search</t>
  </si>
  <si>
    <t xml:space="preserve">/saved-searches</t>
  </si>
  <si>
    <t xml:space="preserve">Store a search and subscribe to alerts.</t>
  </si>
  <si>
    <t xml:space="preserve">{name, filter_json, alert_frequency}</t>
  </si>
  <si>
    <t xml:space="preserve">{saved_search}</t>
  </si>
  <si>
    <t xml:space="preserve">API-48</t>
  </si>
  <si>
    <t xml:space="preserve">Billing</t>
  </si>
  <si>
    <t xml:space="preserve">/subscriptions</t>
  </si>
  <si>
    <t xml:space="preserve">Purchase a seller plan.</t>
  </si>
  <si>
    <t xml:space="preserve">{plan_code}</t>
  </si>
  <si>
    <t xml:space="preserve">{subscription, payment_url}</t>
  </si>
  <si>
    <t xml:space="preserve">403; 402 payment required</t>
  </si>
  <si>
    <t xml:space="preserve">SUBSCRIPTION, PAYMENT</t>
  </si>
  <si>
    <t xml:space="preserve">API-49</t>
  </si>
  <si>
    <t xml:space="preserve">/webhooks/payments</t>
  </si>
  <si>
    <t xml:space="preserve">Receive payment status from the gateway.</t>
  </si>
  <si>
    <t xml:space="preserve">Signature-verified</t>
  </si>
  <si>
    <t xml:space="preserve">Gateway payload</t>
  </si>
  <si>
    <t xml:space="preserve">200</t>
  </si>
  <si>
    <t xml:space="preserve">401 bad signature; 409 replay</t>
  </si>
  <si>
    <t xml:space="preserve">PAYMENT, SUBSCRIPTION</t>
  </si>
  <si>
    <t xml:space="preserve">API-50</t>
  </si>
  <si>
    <t xml:space="preserve">Health</t>
  </si>
  <si>
    <t xml:space="preserve">/health</t>
  </si>
  <si>
    <t xml:space="preserve">Liveness and dependency check for monitoring.</t>
  </si>
  <si>
    <t xml:space="preserve">{status, db, cache, version}</t>
  </si>
  <si>
    <t xml:space="preserve">503 dependency down</t>
  </si>
  <si>
    <t xml:space="preserve">UI/UX CHECKLIST — design system and interface work</t>
  </si>
  <si>
    <t xml:space="preserve">The design system must be ORIGINAL. Extract principles from the research, never the competitor's colours, fonts or visual identity.</t>
  </si>
  <si>
    <t xml:space="preserve">Area</t>
  </si>
  <si>
    <t xml:space="preserve">Item</t>
  </si>
  <si>
    <t xml:space="preserve">What To Build</t>
  </si>
  <si>
    <t xml:space="preserve">Why It Matters</t>
  </si>
  <si>
    <t xml:space="preserve">Design system</t>
  </si>
  <si>
    <t xml:space="preserve">Design tokens</t>
  </si>
  <si>
    <t xml:space="preserve">Define colour, spacing, radius and elevation as named variables.</t>
  </si>
  <si>
    <t xml:space="preserve">Stops the interface drifting into inconsistency; makes dark mode cheap later.</t>
  </si>
  <si>
    <t xml:space="preserve">Original visual identity</t>
  </si>
  <si>
    <t xml:space="preserve">Create a colour palette and identity that is entirely your own.</t>
  </si>
  <si>
    <t xml:space="preserve">Copying a competitor's trade dress is the one part of this project with real legal exposure.</t>
  </si>
  <si>
    <t xml:space="preserve">Typography</t>
  </si>
  <si>
    <t xml:space="preserve">Font family</t>
  </si>
  <si>
    <t xml:space="preserve">Choose one UI font with Indic script coverage if localisation is ever planned.</t>
  </si>
  <si>
    <t xml:space="preserve">Font changes late are disruptive and affect performance.</t>
  </si>
  <si>
    <t xml:space="preserve">Type scale</t>
  </si>
  <si>
    <t xml:space="preserve">Adopt a consistent scale (e.g. 12/14/16/18/20/25/31/39/49).</t>
  </si>
  <si>
    <t xml:space="preserve">Arbitrary font sizes make a UI look amateur.</t>
  </si>
  <si>
    <t xml:space="preserve">Tabular numerals</t>
  </si>
  <si>
    <t xml:space="preserve">Enable tabular figures for price, area and statistics.</t>
  </si>
  <si>
    <t xml:space="preserve">Numbers in lists must align to be comparable at a glance.</t>
  </si>
  <si>
    <t xml:space="preserve">Colour</t>
  </si>
  <si>
    <t xml:space="preserve">Semantic tokens</t>
  </si>
  <si>
    <t xml:space="preserve">Name colours by role (primary, trust, danger) not by hue.</t>
  </si>
  <si>
    <t xml:space="preserve">Lets you change the palette without touching components.</t>
  </si>
  <si>
    <t xml:space="preserve">Contrast compliance</t>
  </si>
  <si>
    <t xml:space="preserve">Meet WCAG AA contrast on all text.</t>
  </si>
  <si>
    <t xml:space="preserve">Legal requirement and readability on phones in daylight.</t>
  </si>
  <si>
    <t xml:space="preserve">Never colour alone</t>
  </si>
  <si>
    <t xml:space="preserve">Pair every colour-coded meaning with an icon or text.</t>
  </si>
  <si>
    <t xml:space="preserve">Colour-blind users cannot decode colour-only signals.</t>
  </si>
  <si>
    <t xml:space="preserve">Dark mode tokens</t>
  </si>
  <si>
    <t xml:space="preserve">Define the dark palette from the start, even if shipped later.</t>
  </si>
  <si>
    <t xml:space="preserve">Retrofitting dark mode is far harder than planning for it.</t>
  </si>
  <si>
    <t xml:space="preserve">Spacing</t>
  </si>
  <si>
    <t xml:space="preserve">4px spacing scale</t>
  </si>
  <si>
    <t xml:space="preserve">Use 4/8/12/16/24/32/48/64 only.</t>
  </si>
  <si>
    <t xml:space="preserve">Consistent rhythm is most of what makes a UI feel designed.</t>
  </si>
  <si>
    <t xml:space="preserve">Grid and containers</t>
  </si>
  <si>
    <t xml:space="preserve">Define container widths and column counts per breakpoint.</t>
  </si>
  <si>
    <t xml:space="preserve">Keeps layouts predictable across pages.</t>
  </si>
  <si>
    <t xml:space="preserve">Components</t>
  </si>
  <si>
    <t xml:space="preserve">Buttons</t>
  </si>
  <si>
    <t xml:space="preserve">Primary, secondary, tertiary and danger variants in three sizes with all states.</t>
  </si>
  <si>
    <t xml:space="preserve">Every screen needs them; inconsistency here is highly visible.</t>
  </si>
  <si>
    <t xml:space="preserve">Inputs</t>
  </si>
  <si>
    <t xml:space="preserve">Text, number, select, date, textarea with label, helper and error slots.</t>
  </si>
  <si>
    <t xml:space="preserve">Reserved error space prevents layout jumping during validation.</t>
  </si>
  <si>
    <t xml:space="preserve">Chips</t>
  </si>
  <si>
    <t xml:space="preserve">Filter chips (toggle) and applied chips (removable).</t>
  </si>
  <si>
    <t xml:space="preserve">The main way users see and undo their filters.</t>
  </si>
  <si>
    <t xml:space="preserve">Badges</t>
  </si>
  <si>
    <t xml:space="preserve">Verified, RERA, New, Price Reduced.</t>
  </si>
  <si>
    <t xml:space="preserve">Trust signals must be instantly recognisable.</t>
  </si>
  <si>
    <t xml:space="preserve">Cards</t>
  </si>
  <si>
    <t xml:space="preserve">Base card container with border and elevation rules.</t>
  </si>
  <si>
    <t xml:space="preserve">Prefer borders over shadows in long lists for paint performance.</t>
  </si>
  <si>
    <t xml:space="preserve">Property card</t>
  </si>
  <si>
    <t xml:space="preserve">Media area</t>
  </si>
  <si>
    <t xml:space="preserve">Fixed 4:3 ratio, carousel, image counter, media-type badge.</t>
  </si>
  <si>
    <t xml:space="preserve">Fixed ratio prevents layout shift; 4:3 shows interiors better than 16:9.</t>
  </si>
  <si>
    <t xml:space="preserve">Price hierarchy</t>
  </si>
  <si>
    <t xml:space="preserve">Price is the largest element, with price-per-area secondary.</t>
  </si>
  <si>
    <t xml:space="preserve">Price is the primary comparison field.</t>
  </si>
  <si>
    <t xml:space="preserve">Explicit area basis</t>
  </si>
  <si>
    <t xml:space="preserve">Always label whether area is carpet, built-up or super.</t>
  </si>
  <si>
    <t xml:space="preserve">The most misleading field in Indian real estate if left ambiguous.</t>
  </si>
  <si>
    <t xml:space="preserve">Single primary action</t>
  </si>
  <si>
    <t xml:space="preserve">Exactly one filled button per card.</t>
  </si>
  <si>
    <t xml:space="preserve">Two competing filled buttons reduce clicks on both.</t>
  </si>
  <si>
    <t xml:space="preserve">Seller type + freshness</t>
  </si>
  <si>
    <t xml:space="preserve">Show owner/agent/builder and how recently it was posted.</t>
  </si>
  <si>
    <t xml:space="preserve">Both are top-three trust signals for buyers.</t>
  </si>
  <si>
    <t xml:space="preserve">Responsive variants</t>
  </si>
  <si>
    <t xml:space="preserve">Horizontal card on phones, vertical in grids.</t>
  </si>
  <si>
    <t xml:space="preserve">Vertical cards show only ~1.5 results per phone screen.</t>
  </si>
  <si>
    <t xml:space="preserve">Search entry point</t>
  </si>
  <si>
    <t xml:space="preserve">Full-screen sheet on mobile, inline bar on desktop.</t>
  </si>
  <si>
    <t xml:space="preserve">Multi-field inline entry does not work on a phone.</t>
  </si>
  <si>
    <t xml:space="preserve">Multi-select location chips</t>
  </si>
  <si>
    <t xml:space="preserve">Allow several localities in one search.</t>
  </si>
  <si>
    <t xml:space="preserve">Real users search 'Salt Lake OR New Town', not one locality.</t>
  </si>
  <si>
    <t xml:space="preserve">Typeahead grouping</t>
  </si>
  <si>
    <t xml:space="preserve">Group suggestions by city, locality, society, with counts.</t>
  </si>
  <si>
    <t xml:space="preserve">Users type all of these interchangeably.</t>
  </si>
  <si>
    <t xml:space="preserve">Recent searches</t>
  </si>
  <si>
    <t xml:space="preserve">Persist and re-offer recent searches.</t>
  </si>
  <si>
    <t xml:space="preserve">Property search runs over weeks, across many sessions.</t>
  </si>
  <si>
    <t xml:space="preserve">Filters</t>
  </si>
  <si>
    <t xml:space="preserve">Desktop filter rail</t>
  </si>
  <si>
    <t xml:space="preserve">Sticky left rail, collapsible groups, counts per option.</t>
  </si>
  <si>
    <t xml:space="preserve">Familiar, persistent and fast to scan.</t>
  </si>
  <si>
    <t xml:space="preserve">Mobile filter sheet</t>
  </si>
  <si>
    <t xml:space="preserve">Full-screen sheet with a live count on the Apply button.</t>
  </si>
  <si>
    <t xml:space="preserve">Lets users tune before committing to a reload.</t>
  </si>
  <si>
    <t xml:space="preserve">Disabled zero-count options</t>
  </si>
  <si>
    <t xml:space="preserve">Show options with zero results as disabled, never hidden.</t>
  </si>
  <si>
    <t xml:space="preserve">Hiding options makes the filter look broken.</t>
  </si>
  <si>
    <t xml:space="preserve">Denser resolution where most inventory sits, plus numeric inputs.</t>
  </si>
  <si>
    <t xml:space="preserve">A linear budget slider makes the common range unselectable.</t>
  </si>
  <si>
    <t xml:space="preserve">State preservation</t>
  </si>
  <si>
    <t xml:space="preserve">Filter and sort changes never lose scroll, state or results.</t>
  </si>
  <si>
    <t xml:space="preserve">The incumbent's single most-complained-about failure.</t>
  </si>
  <si>
    <t xml:space="preserve">Navigation</t>
  </si>
  <si>
    <t xml:space="preserve">Header</t>
  </si>
  <si>
    <t xml:space="preserve">Logo left, intent links, distinct Post Property action, account.</t>
  </si>
  <si>
    <t xml:space="preserve">Logo-left is an escape-hatch convention; breaking it costs task success.</t>
  </si>
  <si>
    <t xml:space="preserve">Mobile bottom navigation</t>
  </si>
  <si>
    <t xml:space="preserve">Search, Saved, Post, Leads, Account.</t>
  </si>
  <si>
    <t xml:space="preserve">App-like convention expected by a mobile-majority audience.</t>
  </si>
  <si>
    <t xml:space="preserve">Visible breadcrumb reflecting the location hierarchy.</t>
  </si>
  <si>
    <t xml:space="preserve">Orientation for users and structure for search engines.</t>
  </si>
  <si>
    <t xml:space="preserve">SEO footer</t>
  </si>
  <si>
    <t xml:space="preserve">Grouped links by city, intent and type.</t>
  </si>
  <si>
    <t xml:space="preserve">Distributes crawl authority into the long tail.</t>
  </si>
  <si>
    <t xml:space="preserve">Modals</t>
  </si>
  <si>
    <t xml:space="preserve">Modal and sheet behaviour</t>
  </si>
  <si>
    <t xml:space="preserve">Focus trap, Escape to close, scroll lock, focus restored on close.</t>
  </si>
  <si>
    <t xml:space="preserve">Without these, keyboard and screen-reader users become trapped.</t>
  </si>
  <si>
    <t xml:space="preserve">Toasts</t>
  </si>
  <si>
    <t xml:space="preserve">Toast notifications</t>
  </si>
  <si>
    <t xml:space="preserve">Non-blocking confirmations for save, copy and alert actions.</t>
  </si>
  <si>
    <t xml:space="preserve">Confirms an action without interrupting the task.</t>
  </si>
  <si>
    <t xml:space="preserve">States</t>
  </si>
  <si>
    <t xml:space="preserve">Empty states</t>
  </si>
  <si>
    <t xml:space="preserve">Every list has a designed empty state with a next action.</t>
  </si>
  <si>
    <t xml:space="preserve">An empty screen with no guidance reads as a broken screen.</t>
  </si>
  <si>
    <t xml:space="preserve">Name the blocking filter, offer radius expansion and alerts.</t>
  </si>
  <si>
    <t xml:space="preserve">Loading skeletons</t>
  </si>
  <si>
    <t xml:space="preserve">Skeletons matching final dimensions exactly, not spinners.</t>
  </si>
  <si>
    <t xml:space="preserve">Prevents layout shift and feels faster than a spinner.</t>
  </si>
  <si>
    <t xml:space="preserve">Error states</t>
  </si>
  <si>
    <t xml:space="preserve">Inline retry that preserves filters and context.</t>
  </si>
  <si>
    <t xml:space="preserve">Never dump the user back to the homepage on an error.</t>
  </si>
  <si>
    <t xml:space="preserve">Offline state</t>
  </si>
  <si>
    <t xml:space="preserve">Tell the user when they are offline and what still works.</t>
  </si>
  <si>
    <t xml:space="preserve">Mobile connectivity is unreliable.</t>
  </si>
  <si>
    <t xml:space="preserve">Gallery</t>
  </si>
  <si>
    <t xml:space="preserve">Photo gallery</t>
  </si>
  <si>
    <t xml:space="preserve">Swipe on touch, arrows on pointer, keyboard arrows, counter, lightbox.</t>
  </si>
  <si>
    <t xml:space="preserve">Photos are the most-used element on the detail page.</t>
  </si>
  <si>
    <t xml:space="preserve">Lazy loading</t>
  </si>
  <si>
    <t xml:space="preserve">Only the first image loads eagerly.</t>
  </si>
  <si>
    <t xml:space="preserve">Images are the dominant byte cost of the page.</t>
  </si>
  <si>
    <t xml:space="preserve">No autoplay</t>
  </si>
  <si>
    <t xml:space="preserve">Carousels never advance on their own.</t>
  </si>
  <si>
    <t xml:space="preserve">Auto-advancing carousels are disorienting and hurt accessibility.</t>
  </si>
  <si>
    <t xml:space="preserve">Contact CTA</t>
  </si>
  <si>
    <t xml:space="preserve">The user must never scroll to a position with no way to contact.</t>
  </si>
  <si>
    <t xml:space="preserve">Two-tier contact</t>
  </si>
  <si>
    <t xml:space="preserve">Enquire (low friction) and View Number (verified).</t>
  </si>
  <si>
    <t xml:space="preserve">Captures both lower-intent and higher-intent buyers.</t>
  </si>
  <si>
    <t xml:space="preserve">Posting wizard</t>
  </si>
  <si>
    <t xml:space="preserve">Step indicator</t>
  </si>
  <si>
    <t xml:space="preserve">Show progress and let users move between completed steps.</t>
  </si>
  <si>
    <t xml:space="preserve">Long forms need a visible sense of progress.</t>
  </si>
  <si>
    <t xml:space="preserve">Autosave indicator</t>
  </si>
  <si>
    <t xml:space="preserve">Visibly confirm that progress is saved.</t>
  </si>
  <si>
    <t xml:space="preserve">Reassurance directly reduces abandonment.</t>
  </si>
  <si>
    <t xml:space="preserve">Live score naming the highest-value missing field.</t>
  </si>
  <si>
    <t xml:space="preserve">Mobile-first upload</t>
  </si>
  <si>
    <t xml:space="preserve">Camera capture, compression, progress, retry.</t>
  </si>
  <si>
    <t xml:space="preserve">Most sellers will post from a phone with poor connectivity.</t>
  </si>
  <si>
    <t xml:space="preserve">Role-aware layout</t>
  </si>
  <si>
    <t xml:space="preserve">Show buyer or seller tools according to the account's roles.</t>
  </si>
  <si>
    <t xml:space="preserve">One account may be both; the interface must adapt.</t>
  </si>
  <si>
    <t xml:space="preserve">Listing state clarity</t>
  </si>
  <si>
    <t xml:space="preserve">Explain lifecycle states in plain language.</t>
  </si>
  <si>
    <t xml:space="preserve">'Under screening' means nothing to a first-time seller.</t>
  </si>
  <si>
    <t xml:space="preserve">Scannable list with status controls and notes.</t>
  </si>
  <si>
    <t xml:space="preserve">Where sellers perceive the platform's value.</t>
  </si>
  <si>
    <t xml:space="preserve">Admin UI</t>
  </si>
  <si>
    <t xml:space="preserve">Density over beauty</t>
  </si>
  <si>
    <t xml:space="preserve">Optimise admin screens for speed and information density.</t>
  </si>
  <si>
    <t xml:space="preserve">Admin users are repetitive power users, not first-time visitors.</t>
  </si>
  <si>
    <t xml:space="preserve">Destructive action guards</t>
  </si>
  <si>
    <t xml:space="preserve">Confirmation and undo for removals and suspensions.</t>
  </si>
  <si>
    <t xml:space="preserve">Admin mistakes affect real users' listings and income.</t>
  </si>
  <si>
    <t xml:space="preserve">Responsive</t>
  </si>
  <si>
    <t xml:space="preserve">Breakpoint specification</t>
  </si>
  <si>
    <t xml:space="preserve">Define behaviour at 390, 412, 768, 1024, 1280+.</t>
  </si>
  <si>
    <t xml:space="preserve">Most traffic will be mobile; desktop cannot be the default.</t>
  </si>
  <si>
    <t xml:space="preserve">Map behaviour</t>
  </si>
  <si>
    <t xml:space="preserve">Exclusive toggle below 1024px; split view above.</t>
  </si>
  <si>
    <t xml:space="preserve">A split map on a phone is unusable.</t>
  </si>
  <si>
    <t xml:space="preserve">Touch targets</t>
  </si>
  <si>
    <t xml:space="preserve">Minimum 44x44px for every interactive element.</t>
  </si>
  <si>
    <t xml:space="preserve">Smaller targets cause mis-taps and frustration.</t>
  </si>
  <si>
    <t xml:space="preserve">Thumb zone</t>
  </si>
  <si>
    <t xml:space="preserve">Primary actions in the lower third on phones.</t>
  </si>
  <si>
    <t xml:space="preserve">The most important button on a phone belongs at the bottom.</t>
  </si>
  <si>
    <t xml:space="preserve">Accessibility</t>
  </si>
  <si>
    <t xml:space="preserve">Visible focus ring</t>
  </si>
  <si>
    <t xml:space="preserve">2px ring with offset on every interactive element.</t>
  </si>
  <si>
    <t xml:space="preserve">Never remove focus outlines without a replacement.</t>
  </si>
  <si>
    <t xml:space="preserve">Keyboard navigation</t>
  </si>
  <si>
    <t xml:space="preserve">Every journey completable by keyboard alone.</t>
  </si>
  <si>
    <t xml:space="preserve">Legal requirement and a genuine usability improvement.</t>
  </si>
  <si>
    <t xml:space="preserve">Form labels</t>
  </si>
  <si>
    <t xml:space="preserve">Real labels, never placeholder-as-label.</t>
  </si>
  <si>
    <t xml:space="preserve">Placeholders vanish on focus and are invisible to screen readers.</t>
  </si>
  <si>
    <t xml:space="preserve">Meaningful alt text</t>
  </si>
  <si>
    <t xml:space="preserve">Describe the image content, not 'image1'.</t>
  </si>
  <si>
    <t xml:space="preserve">Accessibility requirement and an image-SEO benefit.</t>
  </si>
  <si>
    <t xml:space="preserve">Live regions</t>
  </si>
  <si>
    <t xml:space="preserve">Announce result-count changes to screen readers.</t>
  </si>
  <si>
    <t xml:space="preserve">Otherwise filtering appears to do nothing.</t>
  </si>
  <si>
    <t xml:space="preserve">Motion</t>
  </si>
  <si>
    <t xml:space="preserve">Duration limits</t>
  </si>
  <si>
    <t xml:space="preserve">120ms micro, 200ms standard, 300ms maximum.</t>
  </si>
  <si>
    <t xml:space="preserve">Slow animation makes a fast site feel slow.</t>
  </si>
  <si>
    <t xml:space="preserve">Reduced motion</t>
  </si>
  <si>
    <t xml:space="preserve">Honour prefers-reduced-motion by disabling transforms.</t>
  </si>
  <si>
    <t xml:space="preserve">Motion can cause genuine physical discomfort.</t>
  </si>
  <si>
    <t xml:space="preserve">No hover dependencies</t>
  </si>
  <si>
    <t xml:space="preserve">Nothing reachable only by hover.</t>
  </si>
  <si>
    <t xml:space="preserve">Touch devices have no hover.</t>
  </si>
  <si>
    <t xml:space="preserve">SEO CHECKLIST — how people will find the site</t>
  </si>
  <si>
    <t xml:space="preserve">Read this BEFORE building any page. URL structure and rendering decisions cannot be retrofitted cheaply. 'LATER' items are the programmatic scale-up after launch.</t>
  </si>
  <si>
    <t xml:space="preserve">What To Do</t>
  </si>
  <si>
    <t xml:space="preserve">MVP/Later</t>
  </si>
  <si>
    <t xml:space="preserve">URL architecture</t>
  </si>
  <si>
    <t xml:space="preserve">Design routes before building</t>
  </si>
  <si>
    <t xml:space="preserve">Agree every public URL pattern in Phase 2.</t>
  </si>
  <si>
    <t xml:space="preserve">Retrofitting SEO-grade URLs onto a finished app is effectively a rewrite.</t>
  </si>
  <si>
    <t xml:space="preserve">Keyword-rich readable slugs</t>
  </si>
  <si>
    <t xml:space="preserve">Put intent, config, type and place into the URL.</t>
  </si>
  <si>
    <t xml:space="preserve">Observed on the incumbent; the slug carries the query terms users type.</t>
  </si>
  <si>
    <t xml:space="preserve">Typed ID suffix</t>
  </si>
  <si>
    <t xml:space="preserve">Append a short typed ID to detail URLs (e.g. -p12345).</t>
  </si>
  <si>
    <t xml:space="preserve">Guarantees uniqueness so slugs can be regenerated without breaking links.</t>
  </si>
  <si>
    <t xml:space="preserve">Two separate surfaces</t>
  </si>
  <si>
    <t xml:space="preserve">Pretty SSR URLs are indexable; /search query URLs are not.</t>
  </si>
  <si>
    <t xml:space="preserve">Keeps indexation controlled while still offering an app-like experience.</t>
  </si>
  <si>
    <t xml:space="preserve">Avoid subdomains</t>
  </si>
  <si>
    <t xml:space="preserve">Keep builders, projects and agents on the main domain as paths.</t>
  </si>
  <si>
    <t xml:space="preserve">Subdomains split authority and complicate analytics and sessions.</t>
  </si>
  <si>
    <t xml:space="preserve">Canonical URLs</t>
  </si>
  <si>
    <t xml:space="preserve">Canonical on every page</t>
  </si>
  <si>
    <t xml:space="preserve">Point each filtered variant to its cleanest indexable form.</t>
  </si>
  <si>
    <t xml:space="preserve">Prevents duplicate-content dilution across thousands of combinations.</t>
  </si>
  <si>
    <t xml:space="preserve">Self-canonical on detail pages</t>
  </si>
  <si>
    <t xml:space="preserve">Each listing canonicalises to itself.</t>
  </si>
  <si>
    <t xml:space="preserve">Avoids accidental consolidation onto the wrong URL.</t>
  </si>
  <si>
    <t xml:space="preserve">Index strategy</t>
  </si>
  <si>
    <t xml:space="preserve">Allowlist indexable facets</t>
  </si>
  <si>
    <t xml:space="preserve">Only named filter combinations may be indexed.</t>
  </si>
  <si>
    <t xml:space="preserve">Uncontrolled facet indexation is the classic cause of portal demotion.</t>
  </si>
  <si>
    <t xml:space="preserve">noindex the app surface</t>
  </si>
  <si>
    <t xml:space="preserve">The interactive /search route must not be indexed.</t>
  </si>
  <si>
    <t xml:space="preserve">It duplicates the landing pages with unstable parameters.</t>
  </si>
  <si>
    <t xml:space="preserve">Thin content</t>
  </si>
  <si>
    <t xml:space="preserve">Minimum inventory gate</t>
  </si>
  <si>
    <t xml:space="preserve">Only index a page above an inventory threshold.</t>
  </si>
  <si>
    <t xml:space="preserve">Thousands of near-empty pages are a liability, not an asset.</t>
  </si>
  <si>
    <t xml:space="preserve">Redirect below-threshold pages</t>
  </si>
  <si>
    <t xml:space="preserve">Send them to the parent page with nearby inventory shown.</t>
  </si>
  <si>
    <t xml:space="preserve">Preserves the user experience without indexing an empty page.</t>
  </si>
  <si>
    <t xml:space="preserve">Metadata</t>
  </si>
  <si>
    <t xml:space="preserve">Title templates per page type</t>
  </si>
  <si>
    <t xml:space="preserve">Define one template per archetype.</t>
  </si>
  <si>
    <t xml:space="preserve">Consistency at scale; hand-written titles do not scale to thousands of pages.</t>
  </si>
  <si>
    <t xml:space="preserve">Live counts in titles</t>
  </si>
  <si>
    <t xml:space="preserve">Inject current inventory counts (e.g. '1,240+ flats').</t>
  </si>
  <si>
    <t xml:space="preserve">Confirmed technique on the incumbent; raises click-through and signals freshness.</t>
  </si>
  <si>
    <t xml:space="preserve">Count fallback</t>
  </si>
  <si>
    <t xml:space="preserve">Never render '0+' if the count service fails.</t>
  </si>
  <si>
    <t xml:space="preserve">A broken title is worse than a generic one.</t>
  </si>
  <si>
    <t xml:space="preserve">Dynamic freshness tokens</t>
  </si>
  <si>
    <t xml:space="preserve">Include month/year on data pages that regenerate.</t>
  </si>
  <si>
    <t xml:space="preserve">Observed on the incumbent's trend pages; wins 'now' queries without new content.</t>
  </si>
  <si>
    <t xml:space="preserve">LATER</t>
  </si>
  <si>
    <t xml:space="preserve">Meta descriptions</t>
  </si>
  <si>
    <t xml:space="preserve">Template descriptions including sub-inventory counts.</t>
  </si>
  <si>
    <t xml:space="preserve">Observed technique; doubles as a value proposition in results.</t>
  </si>
  <si>
    <t xml:space="preserve">Open Graph / social cards</t>
  </si>
  <si>
    <t xml:space="preserve">Add OG and Twitter card tags.</t>
  </si>
  <si>
    <t xml:space="preserve">Listings are shared in messaging apps constantly in this market.</t>
  </si>
  <si>
    <t xml:space="preserve">Structured data</t>
  </si>
  <si>
    <t xml:space="preserve">RealEstateListing JSON-LD</t>
  </si>
  <si>
    <t xml:space="preserve">Mark up detail pages with offer, price and geo data.</t>
  </si>
  <si>
    <t xml:space="preserve">Enables rich results and machine understanding.</t>
  </si>
  <si>
    <t xml:space="preserve">BreadcrumbList</t>
  </si>
  <si>
    <t xml:space="preserve">Mark up breadcrumbs on every page.</t>
  </si>
  <si>
    <t xml:space="preserve">Improves how results display in search.</t>
  </si>
  <si>
    <t xml:space="preserve">ItemList on results pages</t>
  </si>
  <si>
    <t xml:space="preserve">Mark up result collections.</t>
  </si>
  <si>
    <t xml:space="preserve">Helps engines interpret listing pages.</t>
  </si>
  <si>
    <t xml:space="preserve">FAQPage on FAQ blocks</t>
  </si>
  <si>
    <t xml:space="preserve">Mark up templated question blocks.</t>
  </si>
  <si>
    <t xml:space="preserve">Can win additional search real estate.</t>
  </si>
  <si>
    <t xml:space="preserve">Organization / WebSite</t>
  </si>
  <si>
    <t xml:space="preserve">Site-level markup including a SearchAction.</t>
  </si>
  <si>
    <t xml:space="preserve">Establishes entity identity for the brand.</t>
  </si>
  <si>
    <t xml:space="preserve">Validate markup</t>
  </si>
  <si>
    <t xml:space="preserve">Test with Google's Rich Results Test.</t>
  </si>
  <si>
    <t xml:space="preserve">Invalid markup is silently ignored.</t>
  </si>
  <si>
    <t xml:space="preserve">Sitemap</t>
  </si>
  <si>
    <t xml:space="preserve">Split by content type, max 50,000 URLs per file.</t>
  </si>
  <si>
    <t xml:space="preserve">Required at scale and makes indexation problems diagnosable.</t>
  </si>
  <si>
    <t xml:space="preserve">Accurate lastmod</t>
  </si>
  <si>
    <t xml:space="preserve">Reflect genuine content changes.</t>
  </si>
  <si>
    <t xml:space="preserve">False freshness signals erode crawler trust.</t>
  </si>
  <si>
    <t xml:space="preserve">Remove expired listings</t>
  </si>
  <si>
    <t xml:space="preserve">Drop removed listings promptly.</t>
  </si>
  <si>
    <t xml:space="preserve">Leaving them in wastes crawl budget.</t>
  </si>
  <si>
    <t xml:space="preserve">Nightly regeneration</t>
  </si>
  <si>
    <t xml:space="preserve">Automate sitemap rebuilds.</t>
  </si>
  <si>
    <t xml:space="preserve">Manual sitemaps go stale immediately.</t>
  </si>
  <si>
    <t xml:space="preserve">Robots</t>
  </si>
  <si>
    <t xml:space="preserve">Allow crawling of indexable areas; point to the sitemap index.</t>
  </si>
  <si>
    <t xml:space="preserve">Controls crawl budget and discovery.</t>
  </si>
  <si>
    <t xml:space="preserve">Do not block sitemap URLs</t>
  </si>
  <si>
    <t xml:space="preserve">Ensure nothing in the sitemap is disallowed.</t>
  </si>
  <si>
    <t xml:space="preserve">A very common and damaging misconfiguration.</t>
  </si>
  <si>
    <t xml:space="preserve">Pagination</t>
  </si>
  <si>
    <t xml:space="preserve">Path-based page URLs</t>
  </si>
  <si>
    <t xml:space="preserve">Use /page/2 rather than ?page=2 for indexable pages.</t>
  </si>
  <si>
    <t xml:space="preserve">Observed on the incumbent; path pages are independently indexable.</t>
  </si>
  <si>
    <t xml:space="preserve">Self-canonical paginated pages</t>
  </si>
  <si>
    <t xml:space="preserve">Page 2 canonicalises to page 2, not page 1.</t>
  </si>
  <si>
    <t xml:space="preserve">Canonicalising to page 1 hides deep inventory from the index.</t>
  </si>
  <si>
    <t xml:space="preserve">Expired content</t>
  </si>
  <si>
    <t xml:space="preserve">HTTP 410 for removed listings</t>
  </si>
  <si>
    <t xml:space="preserve">Return 410 with a useful page offering alternatives.</t>
  </si>
  <si>
    <t xml:space="preserve">Signals permanent removal and recovers the visit.</t>
  </si>
  <si>
    <t xml:space="preserve">Automatic expiry</t>
  </si>
  <si>
    <t xml:space="preserve">Expire stale listings on a schedule.</t>
  </si>
  <si>
    <t xml:space="preserve">Dead listings are both an SEO and a trust problem.</t>
  </si>
  <si>
    <t xml:space="preserve">Internal linking</t>
  </si>
  <si>
    <t xml:space="preserve">Generated link clusters</t>
  </si>
  <si>
    <t xml:space="preserve">Nearby localities, budget bands, configurations, parent city.</t>
  </si>
  <si>
    <t xml:space="preserve">Distributes authority into the long tail automatically.</t>
  </si>
  <si>
    <t xml:space="preserve">Generate from the gazetteer</t>
  </si>
  <si>
    <t xml:space="preserve">Never hand-author link clusters.</t>
  </si>
  <si>
    <t xml:space="preserve">Hand-authored links cannot scale and go stale.</t>
  </si>
  <si>
    <t xml:space="preserve">Locality pages</t>
  </si>
  <si>
    <t xml:space="preserve">Locality hub pages</t>
  </si>
  <si>
    <t xml:space="preserve">A page per locality with summary and inventory rails.</t>
  </si>
  <si>
    <t xml:space="preserve">Captures research intent that listings alone cannot.</t>
  </si>
  <si>
    <t xml:space="preserve">City hub pages</t>
  </si>
  <si>
    <t xml:space="preserve">Top-level geographic entry points.</t>
  </si>
  <si>
    <t xml:space="preserve">Crawl distribution and user orientation.</t>
  </si>
  <si>
    <t xml:space="preserve">Descriptive alt text</t>
  </si>
  <si>
    <t xml:space="preserve">Generate alt text from listing attributes.</t>
  </si>
  <si>
    <t xml:space="preserve">Image search traffic plus accessibility.</t>
  </si>
  <si>
    <t xml:space="preserve">Descriptive filenames</t>
  </si>
  <si>
    <t xml:space="preserve">Use meaningful storage filenames where practical.</t>
  </si>
  <si>
    <t xml:space="preserve">Minor but cheap ranking signal.</t>
  </si>
  <si>
    <t xml:space="preserve">Core Web Vitals</t>
  </si>
  <si>
    <t xml:space="preserve">Performance as a ranking factor</t>
  </si>
  <si>
    <t xml:space="preserve">Meet the budgets in the PERFORMANCE sheet.</t>
  </si>
  <si>
    <t xml:space="preserve">Speed is a confirmed ranking input and a conversion factor.</t>
  </si>
  <si>
    <t xml:space="preserve">Search Console</t>
  </si>
  <si>
    <t xml:space="preserve">Verify the property</t>
  </si>
  <si>
    <t xml:space="preserve">Set up Google Search Console before launch.</t>
  </si>
  <si>
    <t xml:space="preserve">How you discover indexation problems.</t>
  </si>
  <si>
    <t xml:space="preserve">Submit sitemaps</t>
  </si>
  <si>
    <t xml:space="preserve">Submit the sitemap index and monitor coverage.</t>
  </si>
  <si>
    <t xml:space="preserve">Coverage errors are invisible otherwise.</t>
  </si>
  <si>
    <t xml:space="preserve">Weekly coverage review</t>
  </si>
  <si>
    <t xml:space="preserve">Check indexation, errors and Core Web Vitals weekly.</t>
  </si>
  <si>
    <t xml:space="preserve">Problems compound silently if unmonitored.</t>
  </si>
  <si>
    <t xml:space="preserve">Programmatic SEO</t>
  </si>
  <si>
    <t xml:space="preserve">Landing matrix generation</t>
  </si>
  <si>
    <t xml:space="preserve">Generate city x type x budget x config pages from data.</t>
  </si>
  <si>
    <t xml:space="preserve">The incumbent's core acquisition machine.</t>
  </si>
  <si>
    <t xml:space="preserve">Governance rules</t>
  </si>
  <si>
    <t xml:space="preserve">Every generated page must pass the thin-content gate.</t>
  </si>
  <si>
    <t xml:space="preserve">Generate the matrix, but govern it.</t>
  </si>
  <si>
    <t xml:space="preserve">Monitor index bloat</t>
  </si>
  <si>
    <t xml:space="preserve">Watch indexed-page count against intended count.</t>
  </si>
  <si>
    <t xml:space="preserve">Early warning of uncontrolled generation.</t>
  </si>
  <si>
    <t xml:space="preserve">Hreflang</t>
  </si>
  <si>
    <t xml:space="preserve">Multi-language tags</t>
  </si>
  <si>
    <t xml:space="preserve">Only if multi-language is ever built.</t>
  </si>
  <si>
    <t xml:space="preserve">Not applicable to a single-language launch.</t>
  </si>
  <si>
    <t xml:space="preserve">SECURITY CHECKLIST — protecting users, data and the business model</t>
  </si>
  <si>
    <t xml:space="preserve">Every CRITICAL item must be DONE before launch. Nothing here involves bypassing anyone else's security — these are controls for YOUR system.</t>
  </si>
  <si>
    <t xml:space="preserve">Control</t>
  </si>
  <si>
    <t xml:space="preserve">OTP as primary login</t>
  </si>
  <si>
    <t xml:space="preserve">Phone-based one-time codes as the main login method.</t>
  </si>
  <si>
    <t xml:space="preserve">Appropriate for the Indian market where phone is the primary identity.</t>
  </si>
  <si>
    <t xml:space="preserve">Hash OTP codes at rest</t>
  </si>
  <si>
    <t xml:space="preserve">Store a hash of the code, never the code itself.</t>
  </si>
  <si>
    <t xml:space="preserve">A database leak must not expose live codes.</t>
  </si>
  <si>
    <t xml:space="preserve">Single-use codes</t>
  </si>
  <si>
    <t xml:space="preserve">Consume the code on first successful use.</t>
  </si>
  <si>
    <t xml:space="preserve">Prevents replay of an intercepted code.</t>
  </si>
  <si>
    <t xml:space="preserve">Short expiry</t>
  </si>
  <si>
    <t xml:space="preserve">Expire codes within a few minutes.</t>
  </si>
  <si>
    <t xml:space="preserve">Limits the window for interception.</t>
  </si>
  <si>
    <t xml:space="preserve">Attempt limits</t>
  </si>
  <si>
    <t xml:space="preserve">Lock the challenge after a small number of wrong attempts.</t>
  </si>
  <si>
    <t xml:space="preserve">Prevents brute-forcing a 6-digit code.</t>
  </si>
  <si>
    <t xml:space="preserve">OTP security</t>
  </si>
  <si>
    <t xml:space="preserve">Per-number rate limits</t>
  </si>
  <si>
    <t xml:space="preserve">Cap OTP requests per phone number per hour.</t>
  </si>
  <si>
    <t xml:space="preserve">Without this your SMS bill becomes the attack surface.</t>
  </si>
  <si>
    <t xml:space="preserve">Per-IP rate limits</t>
  </si>
  <si>
    <t xml:space="preserve">Cap OTP requests per IP address.</t>
  </si>
  <si>
    <t xml:space="preserve">Stops distributed abuse from one source.</t>
  </si>
  <si>
    <t xml:space="preserve">Exponential backoff</t>
  </si>
  <si>
    <t xml:space="preserve">Increase the delay after each repeated request.</t>
  </si>
  <si>
    <t xml:space="preserve">Makes automated abuse uneconomic.</t>
  </si>
  <si>
    <t xml:space="preserve">Monitor spend</t>
  </si>
  <si>
    <t xml:space="preserve">Alert on abnormal SMS volume.</t>
  </si>
  <si>
    <t xml:space="preserve">Detects abuse before the bill arrives.</t>
  </si>
  <si>
    <t xml:space="preserve">Authorization</t>
  </si>
  <si>
    <t xml:space="preserve">Server-side checks on every endpoint</t>
  </si>
  <si>
    <t xml:space="preserve">Never rely on the client hiding a button.</t>
  </si>
  <si>
    <t xml:space="preserve">Client-side role checks are decoration, not security.</t>
  </si>
  <si>
    <t xml:space="preserve">Object-level ownership checks</t>
  </si>
  <si>
    <t xml:space="preserve">Verify the requester owns the listing or lead they are acting on.</t>
  </si>
  <si>
    <t xml:space="preserve">Broken object-level access control is the most common serious API flaw.</t>
  </si>
  <si>
    <t xml:space="preserve">Role permission matrix</t>
  </si>
  <si>
    <t xml:space="preserve">Document which role may perform which action.</t>
  </si>
  <si>
    <t xml:space="preserve">You cannot test what you have not specified.</t>
  </si>
  <si>
    <t xml:space="preserve">Automated authorization tests</t>
  </si>
  <si>
    <t xml:space="preserve">Test cross-role access attempts in CI.</t>
  </si>
  <si>
    <t xml:space="preserve">Regressions here are silent and severe.</t>
  </si>
  <si>
    <t xml:space="preserve">Input validation</t>
  </si>
  <si>
    <t xml:space="preserve">Validate every input server-side</t>
  </si>
  <si>
    <t xml:space="preserve">Use a schema validator on all request bodies and parameters.</t>
  </si>
  <si>
    <t xml:space="preserve">Client validation is a convenience feature only.</t>
  </si>
  <si>
    <t xml:space="preserve">Reject unknown fields</t>
  </si>
  <si>
    <t xml:space="preserve">Do not silently accept unexpected properties.</t>
  </si>
  <si>
    <t xml:space="preserve">Prevents mass-assignment style attacks.</t>
  </si>
  <si>
    <t xml:space="preserve">Bound numeric ranges</t>
  </si>
  <si>
    <t xml:space="preserve">Reject absurd prices, areas and page numbers.</t>
  </si>
  <si>
    <t xml:space="preserve">Prevents both abuse and accidental data corruption.</t>
  </si>
  <si>
    <t xml:space="preserve">File upload</t>
  </si>
  <si>
    <t xml:space="preserve">Validate real content type</t>
  </si>
  <si>
    <t xml:space="preserve">Inspect actual file content, not the declared type or extension.</t>
  </si>
  <si>
    <t xml:space="preserve">Renaming a script to .jpg is a classic bypass.</t>
  </si>
  <si>
    <t xml:space="preserve">Enforce size limits</t>
  </si>
  <si>
    <t xml:space="preserve">Enforce limits on the presigned URL, not just in the browser.</t>
  </si>
  <si>
    <t xml:space="preserve">Client-side limits are trivially bypassed.</t>
  </si>
  <si>
    <t xml:space="preserve">Strip EXIF metadata</t>
  </si>
  <si>
    <t xml:space="preserve">Remove metadata from uploaded photos.</t>
  </si>
  <si>
    <t xml:space="preserve">Photo GPS data can reveal a person's home address.</t>
  </si>
  <si>
    <t xml:space="preserve">Serve media from a separate origin</t>
  </si>
  <si>
    <t xml:space="preserve">Host user media on a distinct domain or subdomain.</t>
  </si>
  <si>
    <t xml:space="preserve">Contains the damage if a malicious file is ever served.</t>
  </si>
  <si>
    <t xml:space="preserve">Scan for embedded contact details</t>
  </si>
  <si>
    <t xml:space="preserve">OCR images to detect phone numbers and emails.</t>
  </si>
  <si>
    <t xml:space="preserve">Search endpoint limits</t>
  </si>
  <si>
    <t xml:space="preserve">Rate-limit search and facet endpoints.</t>
  </si>
  <si>
    <t xml:space="preserve">Prevents cheap denial of service and bulk scraping.</t>
  </si>
  <si>
    <t xml:space="preserve">Contact reveal limits</t>
  </si>
  <si>
    <t xml:space="preserve">Cap reveals per account per day.</t>
  </si>
  <si>
    <t xml:space="preserve">Prevents bulk harvesting of seller phone numbers.</t>
  </si>
  <si>
    <t xml:space="preserve">Write endpoint limits</t>
  </si>
  <si>
    <t xml:space="preserve">Rate-limit listing creation and media uploads.</t>
  </si>
  <si>
    <t xml:space="preserve">Prevents spam flooding.</t>
  </si>
  <si>
    <t xml:space="preserve">API protection</t>
  </si>
  <si>
    <t xml:space="preserve">Consistent error responses</t>
  </si>
  <si>
    <t xml:space="preserve">Never leak stack traces or internal details to clients.</t>
  </si>
  <si>
    <t xml:space="preserve">Error detail is reconnaissance for an attacker.</t>
  </si>
  <si>
    <t xml:space="preserve">Request size limits</t>
  </si>
  <si>
    <t xml:space="preserve">Cap request body size.</t>
  </si>
  <si>
    <t xml:space="preserve">Prevents memory-exhaustion attacks.</t>
  </si>
  <si>
    <t xml:space="preserve">CORS policy</t>
  </si>
  <si>
    <t xml:space="preserve">Allow only your own origins.</t>
  </si>
  <si>
    <t xml:space="preserve">Prevents other sites calling your API as your users.</t>
  </si>
  <si>
    <t xml:space="preserve">XSS</t>
  </si>
  <si>
    <t xml:space="preserve">Never render user text as HTML.</t>
  </si>
  <si>
    <t xml:space="preserve">Listing descriptions are user-supplied and shown publicly.</t>
  </si>
  <si>
    <t xml:space="preserve">Content-Security-Policy</t>
  </si>
  <si>
    <t xml:space="preserve">Restrict which scripts may execute.</t>
  </si>
  <si>
    <t xml:space="preserve">Strong defence in depth if an escaping bug slips through.</t>
  </si>
  <si>
    <t xml:space="preserve">Sanitise rich text</t>
  </si>
  <si>
    <t xml:space="preserve">If rich text is ever allowed, allowlist tags strictly.</t>
  </si>
  <si>
    <t xml:space="preserve">Blocklists are always incomplete.</t>
  </si>
  <si>
    <t xml:space="preserve">CSRF</t>
  </si>
  <si>
    <t xml:space="preserve">Protect cookie-based state changes</t>
  </si>
  <si>
    <t xml:space="preserve">Use anti-CSRF tokens wherever cookies authenticate requests.</t>
  </si>
  <si>
    <t xml:space="preserve">Not needed for pure bearer-token APIs, but essential if cookies are used.</t>
  </si>
  <si>
    <t xml:space="preserve">SameSite cookie attributes</t>
  </si>
  <si>
    <t xml:space="preserve">Set SameSite on any session cookie.</t>
  </si>
  <si>
    <t xml:space="preserve">Cheap and effective mitigation.</t>
  </si>
  <si>
    <t xml:space="preserve">SQL injection</t>
  </si>
  <si>
    <t xml:space="preserve">Use an ORM or bound parameters; never concatenate SQL.</t>
  </si>
  <si>
    <t xml:space="preserve">Still among the most damaging vulnerabilities.</t>
  </si>
  <si>
    <t xml:space="preserve">Review raw SQL</t>
  </si>
  <si>
    <t xml:space="preserve">Audit every hand-written query, especially in search.</t>
  </si>
  <si>
    <t xml:space="preserve">Search code is where raw SQL usually appears.</t>
  </si>
  <si>
    <t xml:space="preserve">Secrets</t>
  </si>
  <si>
    <t xml:space="preserve">No secrets in Git</t>
  </si>
  <si>
    <t xml:space="preserve">Keep credentials out of the repository, including history.</t>
  </si>
  <si>
    <t xml:space="preserve">Managed secret store</t>
  </si>
  <si>
    <t xml:space="preserve">Store secrets in a proper secret manager.</t>
  </si>
  <si>
    <t xml:space="preserve">Environment files on servers get copied and leaked.</t>
  </si>
  <si>
    <t xml:space="preserve">Rotation procedure</t>
  </si>
  <si>
    <t xml:space="preserve">Document how to rotate every credential.</t>
  </si>
  <si>
    <t xml:space="preserve">You need this ready before an incident, not during one.</t>
  </si>
  <si>
    <t xml:space="preserve">Transport</t>
  </si>
  <si>
    <t xml:space="preserve">HTTPS everywhere + HSTS</t>
  </si>
  <si>
    <t xml:space="preserve">Force TLS and enable HSTS.</t>
  </si>
  <si>
    <t xml:space="preserve">Protects credentials and OTPs in transit.</t>
  </si>
  <si>
    <t xml:space="preserve">Set CSP, X-Content-Type-Options, Referrer-Policy and frame protections.</t>
  </si>
  <si>
    <t xml:space="preserve">Cheap, broad protection.</t>
  </si>
  <si>
    <t xml:space="preserve">Audit logs</t>
  </si>
  <si>
    <t xml:space="preserve">Log administrative actions</t>
  </si>
  <si>
    <t xml:space="preserve">Record actor, action, entity, before and after, immutably.</t>
  </si>
  <si>
    <t xml:space="preserve">Log lead data access</t>
  </si>
  <si>
    <t xml:space="preserve">Record every read of buyer contact details.</t>
  </si>
  <si>
    <t xml:space="preserve">This is your most sensitive data.</t>
  </si>
  <si>
    <t xml:space="preserve">Protect log integrity</t>
  </si>
  <si>
    <t xml:space="preserve">Make logs append-only and restrict deletion.</t>
  </si>
  <si>
    <t xml:space="preserve">Logs an attacker can edit are worthless.</t>
  </si>
  <si>
    <t xml:space="preserve">Admin security</t>
  </si>
  <si>
    <t xml:space="preserve">Second factor for admins</t>
  </si>
  <si>
    <t xml:space="preserve">Require a second authentication factor for admin accounts.</t>
  </si>
  <si>
    <t xml:space="preserve">Admin accounts are the highest-value target.</t>
  </si>
  <si>
    <t xml:space="preserve">Separate admin surface</t>
  </si>
  <si>
    <t xml:space="preserve">Keep admin on a distinct path with its own access rules.</t>
  </si>
  <si>
    <t xml:space="preserve">Reduces exposure of administrative endpoints.</t>
  </si>
  <si>
    <t xml:space="preserve">Least privilege</t>
  </si>
  <si>
    <t xml:space="preserve">Give staff the narrowest role that lets them work.</t>
  </si>
  <si>
    <t xml:space="preserve">Limits the blast radius of a compromised account.</t>
  </si>
  <si>
    <t xml:space="preserve">Abuse prevention</t>
  </si>
  <si>
    <t xml:space="preserve">Duplicate listing detection</t>
  </si>
  <si>
    <t xml:space="preserve">Perceptual image hashing plus text similarity.</t>
  </si>
  <si>
    <t xml:space="preserve">Duplicates are the category's top user complaint.</t>
  </si>
  <si>
    <t xml:space="preserve">Owner-vs-agent detection</t>
  </si>
  <si>
    <t xml:space="preserve">Flag accounts claiming owner status while behaving like agents.</t>
  </si>
  <si>
    <t xml:space="preserve">'Posted by owner' carries a trust premium worth gaming.</t>
  </si>
  <si>
    <t xml:space="preserve">Report and review loop</t>
  </si>
  <si>
    <t xml:space="preserve">Let users report, and resolve reports within an SLA.</t>
  </si>
  <si>
    <t xml:space="preserve">Account suspension</t>
  </si>
  <si>
    <t xml:space="preserve">Ability to suspend abusive accounts quickly.</t>
  </si>
  <si>
    <t xml:space="preserve">Needed the first time it happens, not after.</t>
  </si>
  <si>
    <t xml:space="preserve">Contact protection</t>
  </si>
  <si>
    <t xml:space="preserve">Never expose contact before reveal</t>
  </si>
  <si>
    <t xml:space="preserve">Ensure contact fields are absent from API responses pre-reveal.</t>
  </si>
  <si>
    <t xml:space="preserve">Hiding in the UI while sending in the payload is a real and common leak.</t>
  </si>
  <si>
    <t xml:space="preserve">Record the lead before revealing</t>
  </si>
  <si>
    <t xml:space="preserve">Write the inquiry first, then display the number.</t>
  </si>
  <si>
    <t xml:space="preserve">If the write fails after display, you lose the lead and the revenue.</t>
  </si>
  <si>
    <t xml:space="preserve">Number masking (future)</t>
  </si>
  <si>
    <t xml:space="preserve">Route calls through a proxy number.</t>
  </si>
  <si>
    <t xml:space="preserve">Protects sellers from long-term spam; a genuine differentiator.</t>
  </si>
  <si>
    <t xml:space="preserve">Duplicate prevention</t>
  </si>
  <si>
    <t xml:space="preserve">Use a dedupe key so repeat views are not billed twice.</t>
  </si>
  <si>
    <t xml:space="preserve">Revenue integrity; double-charging destroys seller trust.</t>
  </si>
  <si>
    <t xml:space="preserve">Idempotent write endpoints</t>
  </si>
  <si>
    <t xml:space="preserve">Support idempotency keys on create operations.</t>
  </si>
  <si>
    <t xml:space="preserve">Prevents duplicates from retries and double-taps.</t>
  </si>
  <si>
    <t xml:space="preserve">Data protection</t>
  </si>
  <si>
    <t xml:space="preserve">Encrypt PII at rest</t>
  </si>
  <si>
    <t xml:space="preserve">Encrypt personal data in the database.</t>
  </si>
  <si>
    <t xml:space="preserve">Legal obligation and limits breach impact.</t>
  </si>
  <si>
    <t xml:space="preserve">Data retention policy</t>
  </si>
  <si>
    <t xml:space="preserve">Define how long leads and accounts are kept.</t>
  </si>
  <si>
    <t xml:space="preserve">Required under India's data-protection law.</t>
  </si>
  <si>
    <t xml:space="preserve">Consent capture</t>
  </si>
  <si>
    <t xml:space="preserve">Record consent for marketing communications.</t>
  </si>
  <si>
    <t xml:space="preserve">Legal requirement; also reduces complaints.</t>
  </si>
  <si>
    <t xml:space="preserve">Breach response plan</t>
  </si>
  <si>
    <t xml:space="preserve">Write the plan before you need it.</t>
  </si>
  <si>
    <t xml:space="preserve">Response time determines legal and reputational damage.</t>
  </si>
  <si>
    <t xml:space="preserve">Review</t>
  </si>
  <si>
    <t xml:space="preserve">Independent security review</t>
  </si>
  <si>
    <t xml:space="preserve">Have someone other than the builder review before launch.</t>
  </si>
  <si>
    <t xml:space="preserve">Dependency vulnerability scanning</t>
  </si>
  <si>
    <t xml:space="preserve">Automate scanning of third-party packages.</t>
  </si>
  <si>
    <t xml:space="preserve">Most vulnerabilities arrive through dependencies.</t>
  </si>
  <si>
    <t xml:space="preserve">TESTING &amp; QA — what to test and what 'passing' means</t>
  </si>
  <si>
    <t xml:space="preserve">Every row has a concrete acceptance criterion. If you cannot tell whether it passed, the criterion is not specific enough.</t>
  </si>
  <si>
    <t xml:space="preserve">Test Area</t>
  </si>
  <si>
    <t xml:space="preserve">Test Type</t>
  </si>
  <si>
    <t xml:space="preserve">What To Test</t>
  </si>
  <si>
    <t xml:space="preserve">Strategy</t>
  </si>
  <si>
    <t xml:space="preserve">Planning</t>
  </si>
  <si>
    <t xml:space="preserve">Decide the mix of unit, integration and end-to-end tests.</t>
  </si>
  <si>
    <t xml:space="preserve">A written test strategy exists and is followed in CI.</t>
  </si>
  <si>
    <t xml:space="preserve"> MVP</t>
  </si>
  <si>
    <t xml:space="preserve">Business logic</t>
  </si>
  <si>
    <t xml:space="preserve">Unit</t>
  </si>
  <si>
    <t xml:space="preserve">Quota calculation, price formatting, area conversion, completeness score.</t>
  </si>
  <si>
    <t xml:space="preserve">All core calculations covered; edge cases (zero, negative, very large) included.</t>
  </si>
  <si>
    <t xml:space="preserve">Listing state machine transitions.</t>
  </si>
  <si>
    <t xml:space="preserve">Every legal transition passes; every illegal transition is rejected.</t>
  </si>
  <si>
    <t xml:space="preserve">Filter object normalisation from both URL forms.</t>
  </si>
  <si>
    <t xml:space="preserve">Pretty URL and query URL produce an identical filter object.</t>
  </si>
  <si>
    <t xml:space="preserve">Relevance ranking function.</t>
  </si>
  <si>
    <t xml:space="preserve">Ranking is deterministic and reproducible for a fixed input set.</t>
  </si>
  <si>
    <t xml:space="preserve">Integration</t>
  </si>
  <si>
    <t xml:space="preserve">OTP request, verify, expiry, reuse and attempt limits.</t>
  </si>
  <si>
    <t xml:space="preserve">Expired and reused codes are rejected; limits enforced.</t>
  </si>
  <si>
    <t xml:space="preserve">Token refresh and refresh-token reuse detection.</t>
  </si>
  <si>
    <t xml:space="preserve">Reuse of a rotated refresh token revokes the session family.</t>
  </si>
  <si>
    <t xml:space="preserve">Phone change invalidates other sessions.</t>
  </si>
  <si>
    <t xml:space="preserve">Old sessions cannot act after a phone change.</t>
  </si>
  <si>
    <t xml:space="preserve">Cross-role access attempts on every endpoint.</t>
  </si>
  <si>
    <t xml:space="preserve">A buyer token cannot read or modify another user's listings or leads.</t>
  </si>
  <si>
    <t xml:space="preserve">Object ownership checks.</t>
  </si>
  <si>
    <t xml:space="preserve">User A cannot edit user B's listing by guessing an ID.</t>
  </si>
  <si>
    <t xml:space="preserve">Property posting</t>
  </si>
  <si>
    <t xml:space="preserve">E2E</t>
  </si>
  <si>
    <t xml:space="preserve">Complete the wizard end to end on a mobile viewport.</t>
  </si>
  <si>
    <t xml:space="preserve">Listing created, screened and published successfully.</t>
  </si>
  <si>
    <t xml:space="preserve">Draft autosave and resume after a browser refresh.</t>
  </si>
  <si>
    <t xml:space="preserve">No entered data is lost after refresh or navigation away.</t>
  </si>
  <si>
    <t xml:space="preserve">Photo upload, processing, EXIF strip and variant generation.</t>
  </si>
  <si>
    <t xml:space="preserve">Variants exist; EXIF removed; fingerprint computed.</t>
  </si>
  <si>
    <t xml:space="preserve">Contact-detail sanitisation in descriptions.</t>
  </si>
  <si>
    <t xml:space="preserve">Obfuscated phone numbers and emails are removed or flagged.</t>
  </si>
  <si>
    <t xml:space="preserve">Quota enforcement on publish.</t>
  </si>
  <si>
    <t xml:space="preserve">Publishing beyond quota is blocked with a clear message.</t>
  </si>
  <si>
    <t xml:space="preserve">Each filter individually and in combination.</t>
  </si>
  <si>
    <t xml:space="preserve">Results match the filter criteria exactly, verified against seeded data.</t>
  </si>
  <si>
    <t xml:space="preserve">Facet counts exclude their own facet selection.</t>
  </si>
  <si>
    <t xml:space="preserve">Counts match a manually computed expectation.</t>
  </si>
  <si>
    <t xml:space="preserve">Sort purity.</t>
  </si>
  <si>
    <t xml:space="preserve">Explicit sorts are strictly ordered with no promoted interleaving.</t>
  </si>
  <si>
    <t xml:space="preserve">Filter state preservation.</t>
  </si>
  <si>
    <t xml:space="preserve">CRITICAL: no filter or sort change loses scroll, state or results, even when the API errors.</t>
  </si>
  <si>
    <t xml:space="preserve">Browser back and forward behaviour.</t>
  </si>
  <si>
    <t xml:space="preserve">Back returns to the previous filter state, not the homepage.</t>
  </si>
  <si>
    <t xml:space="preserve">Zero-result relaxation ladder.</t>
  </si>
  <si>
    <t xml:space="preserve">Relaxation triggers in order and the user is told what changed.</t>
  </si>
  <si>
    <t xml:space="preserve">Pagination on both surfaces.</t>
  </si>
  <si>
    <t xml:space="preserve">Path pages and infinite scroll return consistent, non-overlapping results.</t>
  </si>
  <si>
    <t xml:space="preserve">Search latency under realistic data volume.</t>
  </si>
  <si>
    <t xml:space="preserve">p95 within the PERFORMANCE sheet budget.</t>
  </si>
  <si>
    <t xml:space="preserve">Enquiry submission end to end.</t>
  </si>
  <si>
    <t xml:space="preserve">Enquiry reaches the seller inbox and notifies them.</t>
  </si>
  <si>
    <t xml:space="preserve">OTP-gated contact reveal.</t>
  </si>
  <si>
    <t xml:space="preserve">Lead is recorded before the number is displayed.</t>
  </si>
  <si>
    <t xml:space="preserve">Duplicate reveal deduplication.</t>
  </si>
  <si>
    <t xml:space="preserve">A repeat reveal within the window creates no new billable lead.</t>
  </si>
  <si>
    <t xml:space="preserve">Reveal rate limiting.</t>
  </si>
  <si>
    <t xml:space="preserve">Daily cap enforced server-side and clearly explained to the user.</t>
  </si>
  <si>
    <t xml:space="preserve">Security</t>
  </si>
  <si>
    <t xml:space="preserve">Contact details absent from API payloads before reveal.</t>
  </si>
  <si>
    <t xml:space="preserve">Inspecting the raw network response shows no seller phone number.</t>
  </si>
  <si>
    <t xml:space="preserve">Moderation approve and reject with reason.</t>
  </si>
  <si>
    <t xml:space="preserve">Decision applied, seller notified, audit entry written.</t>
  </si>
  <si>
    <t xml:space="preserve">Report handling.</t>
  </si>
  <si>
    <t xml:space="preserve">Report enters the queue, is actioned and closed with an audit entry.</t>
  </si>
  <si>
    <t xml:space="preserve">Audit log completeness.</t>
  </si>
  <si>
    <t xml:space="preserve">Every admin state change produces exactly one immutable log entry.</t>
  </si>
  <si>
    <t xml:space="preserve">Contract</t>
  </si>
  <si>
    <t xml:space="preserve">Every endpoint's success and failure responses.</t>
  </si>
  <si>
    <t xml:space="preserve">All documented error cases return the documented status and shape.</t>
  </si>
  <si>
    <t xml:space="preserve">Idempotency on create endpoints.</t>
  </si>
  <si>
    <t xml:space="preserve">Repeated submission does not create duplicates.</t>
  </si>
  <si>
    <t xml:space="preserve">Mobile</t>
  </si>
  <si>
    <t xml:space="preserve">Device</t>
  </si>
  <si>
    <t xml:space="preserve">Core journeys on a real mid-range Android device.</t>
  </si>
  <si>
    <t xml:space="preserve">Search, post and contact complete successfully on real hardware.</t>
  </si>
  <si>
    <t xml:space="preserve">Photo upload on a slow mobile connection.</t>
  </si>
  <si>
    <t xml:space="preserve">Upload completes or fails gracefully with retry.</t>
  </si>
  <si>
    <t xml:space="preserve">Visual</t>
  </si>
  <si>
    <t xml:space="preserve">Layout at 390, 412, 768, 1024 and 1280px.</t>
  </si>
  <si>
    <t xml:space="preserve">No horizontal scroll, no overlap, no clipped content at any width.</t>
  </si>
  <si>
    <t xml:space="preserve">Sticky elements at each breakpoint.</t>
  </si>
  <si>
    <t xml:space="preserve">Contact bar and filter controls behave as specified.</t>
  </si>
  <si>
    <t xml:space="preserve">Browser</t>
  </si>
  <si>
    <t xml:space="preserve">Compatibility</t>
  </si>
  <si>
    <t xml:space="preserve">Chrome, Safari, Firefox and Edge on current versions.</t>
  </si>
  <si>
    <t xml:space="preserve">iOS Safari specifically.</t>
  </si>
  <si>
    <t xml:space="preserve">Sticky elements, viewport height and date inputs behave correctly.</t>
  </si>
  <si>
    <t xml:space="preserve">Automated</t>
  </si>
  <si>
    <t xml:space="preserve">Automated accessibility scan on key pages.</t>
  </si>
  <si>
    <t xml:space="preserve">No critical violations reported.</t>
  </si>
  <si>
    <t xml:space="preserve">Manual</t>
  </si>
  <si>
    <t xml:space="preserve">Keyboard-only completion of search and contact journeys.</t>
  </si>
  <si>
    <t xml:space="preserve">Both journeys completable without a mouse.</t>
  </si>
  <si>
    <t xml:space="preserve">Screen-reader review of results and detail pages.</t>
  </si>
  <si>
    <t xml:space="preserve">Result count changes are announced; images have meaningful alt text.</t>
  </si>
  <si>
    <t xml:space="preserve">Focus visibility audit.</t>
  </si>
  <si>
    <t xml:space="preserve">Every interactive element shows a visible focus indicator.</t>
  </si>
  <si>
    <t xml:space="preserve">Metadata presence on every page type.</t>
  </si>
  <si>
    <t xml:space="preserve">Title, description and canonical present and correctly templated.</t>
  </si>
  <si>
    <t xml:space="preserve">Structured data validity.</t>
  </si>
  <si>
    <t xml:space="preserve">JSON-LD validates without errors.</t>
  </si>
  <si>
    <t xml:space="preserve">Indexation directives.</t>
  </si>
  <si>
    <t xml:space="preserve">App surface is noindex; below-threshold pages are noindex.</t>
  </si>
  <si>
    <t xml:space="preserve">Sitemap correctness.</t>
  </si>
  <si>
    <t xml:space="preserve">All sitemap URLs return 200 and none are disallowed by robots.txt.</t>
  </si>
  <si>
    <t xml:space="preserve">Server-rendered content check.</t>
  </si>
  <si>
    <t xml:space="preserve">Viewing page source shows listing content without JavaScript.</t>
  </si>
  <si>
    <t xml:space="preserve">Synthetic</t>
  </si>
  <si>
    <t xml:space="preserve">Lighthouse on five representative routes in CI.</t>
  </si>
  <si>
    <t xml:space="preserve">All budgets in the PERFORMANCE sheet met; build fails otherwise.</t>
  </si>
  <si>
    <t xml:space="preserve">Load</t>
  </si>
  <si>
    <t xml:space="preserve">Search and detail pages under projected peak traffic.</t>
  </si>
  <si>
    <t xml:space="preserve">Latency budgets held at peak; no error-rate increase.</t>
  </si>
  <si>
    <t xml:space="preserve">Field</t>
  </si>
  <si>
    <t xml:space="preserve">Real user monitoring after launch.</t>
  </si>
  <si>
    <t xml:space="preserve">Field p75 Core Web Vitals within budget.</t>
  </si>
  <si>
    <t xml:space="preserve">Dependency vulnerability scan.</t>
  </si>
  <si>
    <t xml:space="preserve">No unresolved critical or high vulnerabilities.</t>
  </si>
  <si>
    <t xml:space="preserve">Authorization and access-control review.</t>
  </si>
  <si>
    <t xml:space="preserve">No endpoint allows cross-user access.</t>
  </si>
  <si>
    <t xml:space="preserve">File upload abuse testing.</t>
  </si>
  <si>
    <t xml:space="preserve">Independent pre-launch security review.</t>
  </si>
  <si>
    <t xml:space="preserve">All critical and high findings resolved.</t>
  </si>
  <si>
    <t xml:space="preserve">User acceptance</t>
  </si>
  <si>
    <t xml:space="preserve">Five external users post a property unaided.</t>
  </si>
  <si>
    <t xml:space="preserve">At least 4 of 5 complete it; median time within 8 minutes.</t>
  </si>
  <si>
    <t xml:space="preserve">Five external users find and contact a listing unaided.</t>
  </si>
  <si>
    <t xml:space="preserve">At least 4 of 5 complete it without assistance.</t>
  </si>
  <si>
    <t xml:space="preserve">Production</t>
  </si>
  <si>
    <t xml:space="preserve">Smoke</t>
  </si>
  <si>
    <t xml:space="preserve">Critical journeys against the live site after deploy.</t>
  </si>
  <si>
    <t xml:space="preserve">Post, search, contact and OTP all verified on production.</t>
  </si>
  <si>
    <t xml:space="preserve">Monitoring</t>
  </si>
  <si>
    <t xml:space="preserve">Alerts fire correctly for a simulated failure.</t>
  </si>
  <si>
    <t xml:space="preserve">A real person receives the alert within the target time.</t>
  </si>
  <si>
    <t xml:space="preserve">Regression</t>
  </si>
  <si>
    <t xml:space="preserve">Full suite runs on every main-branch build.</t>
  </si>
  <si>
    <t xml:space="preserve">Suite is green before any production deploy.</t>
  </si>
  <si>
    <t xml:space="preserve">PERFORMANCE — hard speed targets</t>
  </si>
  <si>
    <t xml:space="preserve">These budgets come from the research document. Measure on a throttled mid-range Android on simulated 4G, never on a developer laptop. Being measurably faster than the incumbent is this product's clearest differentiator.</t>
  </si>
  <si>
    <t xml:space="preserve">Metric</t>
  </si>
  <si>
    <t xml:space="preserve">What It Means (plain English)</t>
  </si>
  <si>
    <t xml:space="preserve">Target</t>
  </si>
  <si>
    <t xml:space="preserve">Hard Fail</t>
  </si>
  <si>
    <t xml:space="preserve">How To Measure</t>
  </si>
  <si>
    <t xml:space="preserve">LCP — Largest Contentful Paint (mobile, p75)</t>
  </si>
  <si>
    <t xml:space="preserve">How long until the biggest thing on screen appears. The main 'does this feel fast' number.</t>
  </si>
  <si>
    <t xml:space="preserve">&lt;= 2.0 s</t>
  </si>
  <si>
    <t xml:space="preserve">&gt; 2.5 s</t>
  </si>
  <si>
    <t xml:space="preserve">Lighthouse in CI + real user monitoring, throttled mid-range Android on simulated 4G</t>
  </si>
  <si>
    <t xml:space="preserve">CLS — Cumulative Layout Shift</t>
  </si>
  <si>
    <t xml:space="preserve">How much the page jumps around while loading. Zero is ideal.</t>
  </si>
  <si>
    <t xml:space="preserve">&lt;= 0.05</t>
  </si>
  <si>
    <t xml:space="preserve">&gt; 0.1</t>
  </si>
  <si>
    <t xml:space="preserve">Lighthouse + RUM; check result cards and the image gallery specifically</t>
  </si>
  <si>
    <t xml:space="preserve">INP — Interaction to Next Paint</t>
  </si>
  <si>
    <t xml:space="preserve">How quickly the page responds when you tap or click something.</t>
  </si>
  <si>
    <t xml:space="preserve">&lt;= 150 ms</t>
  </si>
  <si>
    <t xml:space="preserve">&gt; 200 ms</t>
  </si>
  <si>
    <t xml:space="preserve">RUM in the field; test filter and sort interactions specifically</t>
  </si>
  <si>
    <t xml:space="preserve">TTFB — Time To First Byte (SSR, p75)</t>
  </si>
  <si>
    <t xml:space="preserve">How long the server takes to start sending the page.</t>
  </si>
  <si>
    <t xml:space="preserve">&lt;= 400 ms</t>
  </si>
  <si>
    <t xml:space="preserve">&gt; 800 ms</t>
  </si>
  <si>
    <t xml:space="preserve">Server timing headers + RUM; measure landing pages and detail pages</t>
  </si>
  <si>
    <t xml:space="preserve">JavaScript transferred (search route)</t>
  </si>
  <si>
    <t xml:space="preserve">How much code the browser downloads for the search page.</t>
  </si>
  <si>
    <t xml:space="preserve">&lt;= 180 KB gzip</t>
  </si>
  <si>
    <t xml:space="preserve">&gt; 250 KB</t>
  </si>
  <si>
    <t xml:space="preserve">Bundle analyser in CI; fail the build on breach</t>
  </si>
  <si>
    <t xml:space="preserve">CSS transferred</t>
  </si>
  <si>
    <t xml:space="preserve">How much styling code is downloaded.</t>
  </si>
  <si>
    <t xml:space="preserve">&lt;= 40 KB gzip</t>
  </si>
  <si>
    <t xml:space="preserve">&gt; 60 KB</t>
  </si>
  <si>
    <t xml:space="preserve">Bundle analyser in CI</t>
  </si>
  <si>
    <t xml:space="preserve">Image bytes above the fold</t>
  </si>
  <si>
    <t xml:space="preserve">Weight of images visible before scrolling. Usually the biggest cost.</t>
  </si>
  <si>
    <t xml:space="preserve">&lt;= 150 KB</t>
  </si>
  <si>
    <t xml:space="preserve">Lighthouse network audit on results and detail pages</t>
  </si>
  <si>
    <t xml:space="preserve">Requests to first render</t>
  </si>
  <si>
    <t xml:space="preserve">How many separate network calls are needed before the page is usable.</t>
  </si>
  <si>
    <t xml:space="preserve">&lt;= 25</t>
  </si>
  <si>
    <t xml:space="preserve">&gt; 40</t>
  </si>
  <si>
    <t xml:space="preserve">Lighthouse network panel audit</t>
  </si>
  <si>
    <t xml:space="preserve">Search API latency (p95)</t>
  </si>
  <si>
    <t xml:space="preserve">How long the slowest 5% of searches take on the server.</t>
  </si>
  <si>
    <t xml:space="preserve">&lt;= 300 ms</t>
  </si>
  <si>
    <t xml:space="preserve">&gt; 600 ms</t>
  </si>
  <si>
    <t xml:space="preserve">Application performance monitoring at realistic data volume</t>
  </si>
  <si>
    <t xml:space="preserve">Typeahead latency (p95)</t>
  </si>
  <si>
    <t xml:space="preserve">How long autocomplete suggestions take to appear.</t>
  </si>
  <si>
    <t xml:space="preserve">&lt;= 120 ms</t>
  </si>
  <si>
    <t xml:space="preserve">&gt; 250 ms</t>
  </si>
  <si>
    <t xml:space="preserve">APM; must be measured against the dedicated suggest table</t>
  </si>
  <si>
    <t xml:space="preserve">Filter/sort error rate</t>
  </si>
  <si>
    <t xml:space="preserve">How often a filter or sort action fails.</t>
  </si>
  <si>
    <t xml:space="preserve">&lt; 0.1 %</t>
  </si>
  <si>
    <t xml:space="preserve">&gt; 0.5 %</t>
  </si>
  <si>
    <t xml:space="preserve">Error monitoring with a dedicated alert on these actions</t>
  </si>
  <si>
    <t xml:space="preserve">Test conditions</t>
  </si>
  <si>
    <t xml:space="preserve">The device and network profile all budgets are measured on.</t>
  </si>
  <si>
    <t xml:space="preserve">Throttled mid-range Android, simulated 4G</t>
  </si>
  <si>
    <t xml:space="preserve">Developer laptop on office wifi</t>
  </si>
  <si>
    <t xml:space="preserve">Configure Lighthouse and device testing to this profile</t>
  </si>
  <si>
    <t xml:space="preserve">DEVOPS &amp; DEPLOYMENT — running the system safely</t>
  </si>
  <si>
    <t xml:space="preserve">The backup RESTORE DRILL is the item most often assumed and never verified. An untested backup is not a backup.</t>
  </si>
  <si>
    <t xml:space="preserve">Repository</t>
  </si>
  <si>
    <t xml:space="preserve">Create the repository</t>
  </si>
  <si>
    <t xml:space="preserve">Set up Git hosting with a README, licence and .gitignore.</t>
  </si>
  <si>
    <t xml:space="preserve">Single source of truth for code and history.</t>
  </si>
  <si>
    <t xml:space="preserve">Protect the main branch</t>
  </si>
  <si>
    <t xml:space="preserve">Require pull requests and passing checks before merge.</t>
  </si>
  <si>
    <t xml:space="preserve">CODEOWNERS</t>
  </si>
  <si>
    <t xml:space="preserve">Define who reviews which parts of the codebase.</t>
  </si>
  <si>
    <t xml:space="preserve">Useful the moment more than one person contributes.</t>
  </si>
  <si>
    <t xml:space="preserve">Define branching rules</t>
  </si>
  <si>
    <t xml:space="preserve">Short-lived feature branches merged into main via pull request.</t>
  </si>
  <si>
    <t xml:space="preserve">Long-lived branches cause painful merges.</t>
  </si>
  <si>
    <t xml:space="preserve">Commit conventions</t>
  </si>
  <si>
    <t xml:space="preserve">Adopt a consistent commit message format.</t>
  </si>
  <si>
    <t xml:space="preserve">Makes history readable and enables automated changelogs.</t>
  </si>
  <si>
    <t xml:space="preserve">Environment variables</t>
  </si>
  <si>
    <t xml:space="preserve">Document every variable</t>
  </si>
  <si>
    <t xml:space="preserve">Maintain a .env.example listing every variable with a description.</t>
  </si>
  <si>
    <t xml:space="preserve">New environments are otherwise impossible to reproduce.</t>
  </si>
  <si>
    <t xml:space="preserve">Never commit real values</t>
  </si>
  <si>
    <t xml:space="preserve">Keep actual secrets out of the repository entirely.</t>
  </si>
  <si>
    <t xml:space="preserve">Secrets in Git history are extremely hard to remove.</t>
  </si>
  <si>
    <t xml:space="preserve">Environments</t>
  </si>
  <si>
    <t xml:space="preserve">Development environment</t>
  </si>
  <si>
    <t xml:space="preserve">Local setup running with one command via Docker Compose.</t>
  </si>
  <si>
    <t xml:space="preserve">Everyone develops against identical dependency versions.</t>
  </si>
  <si>
    <t xml:space="preserve">Staging environment</t>
  </si>
  <si>
    <t xml:space="preserve">A production-like environment with separate data.</t>
  </si>
  <si>
    <t xml:space="preserve">Never test against production data.</t>
  </si>
  <si>
    <t xml:space="preserve">Phase 19</t>
  </si>
  <si>
    <t xml:space="preserve">Production environment</t>
  </si>
  <si>
    <t xml:space="preserve">The live environment, isolated from all others.</t>
  </si>
  <si>
    <t xml:space="preserve">Isolation prevents accidental data loss.</t>
  </si>
  <si>
    <t xml:space="preserve">CI/CD</t>
  </si>
  <si>
    <t xml:space="preserve">Continuous integration</t>
  </si>
  <si>
    <t xml:space="preserve">Run lint, typecheck and tests on every pull request.</t>
  </si>
  <si>
    <t xml:space="preserve">Catches problems before merge, while they are cheap.</t>
  </si>
  <si>
    <t xml:space="preserve">Performance gate</t>
  </si>
  <si>
    <t xml:space="preserve">Fail the build when a performance budget is breached.</t>
  </si>
  <si>
    <t xml:space="preserve">Performance debt compounds and is expensive to repay.</t>
  </si>
  <si>
    <t xml:space="preserve">Automated deployment to staging</t>
  </si>
  <si>
    <t xml:space="preserve">Merging to main deploys to staging automatically.</t>
  </si>
  <si>
    <t xml:space="preserve">Manual deploys are where mistakes happen.</t>
  </si>
  <si>
    <t xml:space="preserve">Controlled production deployment</t>
  </si>
  <si>
    <t xml:space="preserve">Deploy to production on an explicit, logged action.</t>
  </si>
  <si>
    <t xml:space="preserve">Production changes should be deliberate.</t>
  </si>
  <si>
    <t xml:space="preserve">Versioned migrations</t>
  </si>
  <si>
    <t xml:space="preserve">All schema changes go through migration files.</t>
  </si>
  <si>
    <t xml:space="preserve">Manual production schema edits cause outages.</t>
  </si>
  <si>
    <t xml:space="preserve">Reversible migrations</t>
  </si>
  <si>
    <t xml:space="preserve">Every migration has a tested rollback path.</t>
  </si>
  <si>
    <t xml:space="preserve">You will need to undo one eventually.</t>
  </si>
  <si>
    <t xml:space="preserve">Zero-downtime migration practice</t>
  </si>
  <si>
    <t xml:space="preserve">Add columns before using them; remove only after deploy.</t>
  </si>
  <si>
    <t xml:space="preserve">Avoids breaking the running application mid-deploy.</t>
  </si>
  <si>
    <t xml:space="preserve">Connection pooling</t>
  </si>
  <si>
    <t xml:space="preserve">Configure a connection pool sized to the workload.</t>
  </si>
  <si>
    <t xml:space="preserve">Exhausted connections take the whole site down.</t>
  </si>
  <si>
    <t xml:space="preserve">Backups</t>
  </si>
  <si>
    <t xml:space="preserve">Automated daily backups</t>
  </si>
  <si>
    <t xml:space="preserve">Schedule automated database backups with retention.</t>
  </si>
  <si>
    <t xml:space="preserve">Data loss is the one truly unrecoverable failure.</t>
  </si>
  <si>
    <t xml:space="preserve">Point-in-time recovery</t>
  </si>
  <si>
    <t xml:space="preserve">Enable transaction-log based recovery if available.</t>
  </si>
  <si>
    <t xml:space="preserve">Lets you recover to just before a mistake.</t>
  </si>
  <si>
    <t xml:space="preserve">Restore drill</t>
  </si>
  <si>
    <t xml:space="preserve">Actually restore a backup into a clean environment.</t>
  </si>
  <si>
    <t xml:space="preserve">An untested backup is not a backup. Do not skip this.</t>
  </si>
  <si>
    <t xml:space="preserve">Offsite copy</t>
  </si>
  <si>
    <t xml:space="preserve">Keep at least one backup copy in a separate location.</t>
  </si>
  <si>
    <t xml:space="preserve">Protects against a provider-level failure.</t>
  </si>
  <si>
    <t xml:space="preserve">Uptime monitoring</t>
  </si>
  <si>
    <t xml:space="preserve">External checks on the site and key endpoints.</t>
  </si>
  <si>
    <t xml:space="preserve">Tells you the site is down before users do.</t>
  </si>
  <si>
    <t xml:space="preserve">Application performance monitoring</t>
  </si>
  <si>
    <t xml:space="preserve">Track endpoint latency and throughput.</t>
  </si>
  <si>
    <t xml:space="preserve">Finds slow endpoints before they become outages.</t>
  </si>
  <si>
    <t xml:space="preserve">Alerting with a recipient</t>
  </si>
  <si>
    <t xml:space="preserve">Route alerts to a person who will actually see them.</t>
  </si>
  <si>
    <t xml:space="preserve">Business metric alerts</t>
  </si>
  <si>
    <t xml:space="preserve">Alert if leads or listings drop sharply.</t>
  </si>
  <si>
    <t xml:space="preserve">Catches silent failures that technical monitoring misses.</t>
  </si>
  <si>
    <t xml:space="preserve">Frontend and backend error capture</t>
  </si>
  <si>
    <t xml:space="preserve">Install error tracking on both sides with release tagging.</t>
  </si>
  <si>
    <t xml:space="preserve">Filter/sort error alert</t>
  </si>
  <si>
    <t xml:space="preserve">A dedicated alert on search interaction failures.</t>
  </si>
  <si>
    <t xml:space="preserve">The specific failure the incumbent's users complain about.</t>
  </si>
  <si>
    <t xml:space="preserve">Structured logs</t>
  </si>
  <si>
    <t xml:space="preserve">Log as structured data with a request ID on every entry.</t>
  </si>
  <si>
    <t xml:space="preserve">Lets you trace one request across services.</t>
  </si>
  <si>
    <t xml:space="preserve">Centralised aggregation</t>
  </si>
  <si>
    <t xml:space="preserve">Ship logs to one searchable place.</t>
  </si>
  <si>
    <t xml:space="preserve">Debugging production without logs is guesswork.</t>
  </si>
  <si>
    <t xml:space="preserve">Never log secrets or PII</t>
  </si>
  <si>
    <t xml:space="preserve">Redact tokens, OTPs and personal data from logs.</t>
  </si>
  <si>
    <t xml:space="preserve">Logs are widely accessible and frequently exported.</t>
  </si>
  <si>
    <t xml:space="preserve">Retention policy</t>
  </si>
  <si>
    <t xml:space="preserve">Define how long logs are kept.</t>
  </si>
  <si>
    <t xml:space="preserve">Cost control and data-protection compliance.</t>
  </si>
  <si>
    <t xml:space="preserve">Static asset delivery</t>
  </si>
  <si>
    <t xml:space="preserve">Serve assets from a CDN with long cache lifetimes.</t>
  </si>
  <si>
    <t xml:space="preserve">HTML edge caching</t>
  </si>
  <si>
    <t xml:space="preserve">Cache landing pages at the edge with stale-while-revalidate.</t>
  </si>
  <si>
    <t xml:space="preserve">Large latency reduction for the highest-traffic pages.</t>
  </si>
  <si>
    <t xml:space="preserve">Image transformation</t>
  </si>
  <si>
    <t xml:space="preserve">Resize and convert images at the edge.</t>
  </si>
  <si>
    <t xml:space="preserve">Avoids storing dozens of variants per photo.</t>
  </si>
  <si>
    <t xml:space="preserve">Media bucket</t>
  </si>
  <si>
    <t xml:space="preserve">Create a bucket for user-uploaded media.</t>
  </si>
  <si>
    <t xml:space="preserve">Databases are the wrong place for images.</t>
  </si>
  <si>
    <t xml:space="preserve">Presigned uploads</t>
  </si>
  <si>
    <t xml:space="preserve">Upload directly from the browser to storage.</t>
  </si>
  <si>
    <t xml:space="preserve">Keeps large uploads off the application server.</t>
  </si>
  <si>
    <t xml:space="preserve">Lifecycle rules</t>
  </si>
  <si>
    <t xml:space="preserve">Automatically clean up orphaned and abandoned uploads.</t>
  </si>
  <si>
    <t xml:space="preserve">Storage cost grows silently otherwise.</t>
  </si>
  <si>
    <t xml:space="preserve">Domain</t>
  </si>
  <si>
    <t xml:space="preserve">Register the domain</t>
  </si>
  <si>
    <t xml:space="preserve">Secure the domain and relevant variants.</t>
  </si>
  <si>
    <t xml:space="preserve">DNS</t>
  </si>
  <si>
    <t xml:space="preserve">Configure DNS</t>
  </si>
  <si>
    <t xml:space="preserve">Set up records with a reliable DNS provider.</t>
  </si>
  <si>
    <t xml:space="preserve">DNS misconfiguration is a common launch-day failure.</t>
  </si>
  <si>
    <t xml:space="preserve">SSL</t>
  </si>
  <si>
    <t xml:space="preserve">TLS certificates</t>
  </si>
  <si>
    <t xml:space="preserve">Enable HTTPS with automatic renewal.</t>
  </si>
  <si>
    <t xml:space="preserve">Required for security and for search ranking.</t>
  </si>
  <si>
    <t xml:space="preserve">Force HTTPS</t>
  </si>
  <si>
    <t xml:space="preserve">Redirect all HTTP traffic to HTTPS.</t>
  </si>
  <si>
    <t xml:space="preserve">Prevents credentials travelling unencrypted.</t>
  </si>
  <si>
    <t xml:space="preserve">Deployment</t>
  </si>
  <si>
    <t xml:space="preserve">Health checks</t>
  </si>
  <si>
    <t xml:space="preserve">Expose a health endpoint used by the deployment system.</t>
  </si>
  <si>
    <t xml:space="preserve">Enables safe rolling deploys.</t>
  </si>
  <si>
    <t xml:space="preserve">Rolling or blue-green deploys</t>
  </si>
  <si>
    <t xml:space="preserve">Deploy without dropping live traffic.</t>
  </si>
  <si>
    <t xml:space="preserve">Users should not see errors during a release.</t>
  </si>
  <si>
    <t xml:space="preserve">Rollback</t>
  </si>
  <si>
    <t xml:space="preserve">Documented rollback procedure</t>
  </si>
  <si>
    <t xml:space="preserve">Write down exactly how to revert a bad release.</t>
  </si>
  <si>
    <t xml:space="preserve">Practise a rollback</t>
  </si>
  <si>
    <t xml:space="preserve">Perform a rollback on staging at least once.</t>
  </si>
  <si>
    <t xml:space="preserve">An untested procedure fails when you need it.</t>
  </si>
  <si>
    <t xml:space="preserve">Disaster recovery</t>
  </si>
  <si>
    <t xml:space="preserve">Define RTO and RPO</t>
  </si>
  <si>
    <t xml:space="preserve">Decide acceptable downtime and acceptable data loss.</t>
  </si>
  <si>
    <t xml:space="preserve">Written DR runbook</t>
  </si>
  <si>
    <t xml:space="preserve">Step-by-step recovery instructions with named owners.</t>
  </si>
  <si>
    <t xml:space="preserve">Incidents are not the time to improvise.</t>
  </si>
  <si>
    <t xml:space="preserve">Define infrastructure in code</t>
  </si>
  <si>
    <t xml:space="preserve">Use Terraform or equivalent rather than console clicks.</t>
  </si>
  <si>
    <t xml:space="preserve">Makes environments reproducible and auditable.</t>
  </si>
  <si>
    <t xml:space="preserve">Cost</t>
  </si>
  <si>
    <t xml:space="preserve">Cost monitoring and alerts</t>
  </si>
  <si>
    <t xml:space="preserve">Set budget alerts on cloud spend.</t>
  </si>
  <si>
    <t xml:space="preserve">Cloud bills surprise people, especially with image traffic.</t>
  </si>
  <si>
    <t xml:space="preserve">THIRD-PARTY SERVICES — what you must buy or sign up for</t>
  </si>
  <si>
    <t xml:space="preserve">Do NOT sign up for everything at once. Only the MVP rows are needed for launch. Note that DLT registration for Indian SMS has a lead time — start that early.</t>
  </si>
  <si>
    <t xml:space="preserve">Service</t>
  </si>
  <si>
    <t xml:space="preserve">Why Needed</t>
  </si>
  <si>
    <t xml:space="preserve">Alternative</t>
  </si>
  <si>
    <t xml:space="preserve">Estimated Cost</t>
  </si>
  <si>
    <t xml:space="preserve">Integration Phase</t>
  </si>
  <si>
    <t xml:space="preserve">SMS / OTP provider</t>
  </si>
  <si>
    <t xml:space="preserve">Deliver one-time codes and lead alerts by SMS.</t>
  </si>
  <si>
    <t xml:space="preserve">OTP is the primary login method and the gate on contact reveal. Nothing works without it.</t>
  </si>
  <si>
    <t xml:space="preserve">MSG91, Twilio, AWS SNS, Gupshup</t>
  </si>
  <si>
    <t xml:space="preserve">Per-message; budget for OTP volume plus abuse margin. DLT registration required in India.</t>
  </si>
  <si>
    <t xml:space="preserve">Transactional email: verification, lead alerts, notifications.</t>
  </si>
  <si>
    <t xml:space="preserve">Secondary notification channel and account recovery.</t>
  </si>
  <si>
    <t xml:space="preserve">Resend, AWS SES, Postmark, SendGrid</t>
  </si>
  <si>
    <t xml:space="preserve">Low at launch volume; usually per-thousand emails.</t>
  </si>
  <si>
    <t xml:space="preserve">Store listing photos and documents.</t>
  </si>
  <si>
    <t xml:space="preserve">Images cannot live in the database; you need durable blob storage.</t>
  </si>
  <si>
    <t xml:space="preserve">AWS S3, Cloudflare R2, Google Cloud Storage</t>
  </si>
  <si>
    <t xml:space="preserve">Storage plus egress. R2 has no egress fee — relevant for an image-heavy product.</t>
  </si>
  <si>
    <t xml:space="preserve">Serve assets and cache HTML at the edge.</t>
  </si>
  <si>
    <t xml:space="preserve">The single cheapest performance improvement available.</t>
  </si>
  <si>
    <t xml:space="preserve">Cloudflare, Fastly, AWS CloudFront</t>
  </si>
  <si>
    <t xml:space="preserve">Free tier often sufficient at launch.</t>
  </si>
  <si>
    <t xml:space="preserve">Maps / geocoding</t>
  </si>
  <si>
    <t xml:space="preserve">Show property locations; geocode addresses.</t>
  </si>
  <si>
    <t xml:space="preserve">MVP (static map only)</t>
  </si>
  <si>
    <t xml:space="preserve">Location is the primary decision factor on the detail page.</t>
  </si>
  <si>
    <t xml:space="preserve">MapLibre + MapTiler/Protomaps, Google Maps, Mapbox</t>
  </si>
  <si>
    <t xml:space="preserve">MapLibre with open tiles can be near-free; Google bills per load and grows fast.</t>
  </si>
  <si>
    <t xml:space="preserve">Sentry, Rollbar, Bugsnag</t>
  </si>
  <si>
    <t xml:space="preserve">Free tier usually sufficient at launch.</t>
  </si>
  <si>
    <t xml:space="preserve">Understand traffic sources and page performance.</t>
  </si>
  <si>
    <t xml:space="preserve">Tells you which acquisition channels actually work.</t>
  </si>
  <si>
    <t xml:space="preserve">GA4, Plausible, Fathom, PostHog</t>
  </si>
  <si>
    <t xml:space="preserve">Free to low.</t>
  </si>
  <si>
    <t xml:space="preserve">Event analytics / product analytics</t>
  </si>
  <si>
    <t xml:space="preserve">Own the lead funnel data end to end.</t>
  </si>
  <si>
    <t xml:space="preserve">The lead funnel is the business; owning this data is non-negotiable.</t>
  </si>
  <si>
    <t xml:space="preserve">PostHog (self-hosted or cloud), own pipeline to a warehouse</t>
  </si>
  <si>
    <t xml:space="preserve">Self-hosting trades money for operational effort.</t>
  </si>
  <si>
    <t xml:space="preserve">Hosting — frontend</t>
  </si>
  <si>
    <t xml:space="preserve">Run the server-rendered web application.</t>
  </si>
  <si>
    <t xml:space="preserve">Required to serve the site.</t>
  </si>
  <si>
    <t xml:space="preserve">Vercel, Netlify, self-managed containers</t>
  </si>
  <si>
    <t xml:space="preserve">Scales with traffic; watch bandwidth on image-heavy pages.</t>
  </si>
  <si>
    <t xml:space="preserve">Hosting — backend &amp; database</t>
  </si>
  <si>
    <t xml:space="preserve">Run the API, workers and database.</t>
  </si>
  <si>
    <t xml:space="preserve">AWS, GCP, Railway, Render, Fly.io, DigitalOcean</t>
  </si>
  <si>
    <t xml:space="preserve">Managed database is worth the premium at this stage.</t>
  </si>
  <si>
    <t xml:space="preserve">External checks that the site is up.</t>
  </si>
  <si>
    <t xml:space="preserve">Tells you about outages before users do.</t>
  </si>
  <si>
    <t xml:space="preserve">BetterStack, UptimeRobot, Pingdom</t>
  </si>
  <si>
    <t xml:space="preserve">Free tier usually sufficient.</t>
  </si>
  <si>
    <t xml:space="preserve">Domain registrar</t>
  </si>
  <si>
    <t xml:space="preserve">Own the domain name.</t>
  </si>
  <si>
    <t xml:space="preserve">Required before anything is public.</t>
  </si>
  <si>
    <t xml:space="preserve">Any reputable registrar</t>
  </si>
  <si>
    <t xml:space="preserve">Annual, small.</t>
  </si>
  <si>
    <t xml:space="preserve">Take payment for seller plans.</t>
  </si>
  <si>
    <t xml:space="preserve">Not needed until monetisation begins. Do not integrate early.</t>
  </si>
  <si>
    <t xml:space="preserve">Razorpay, Cashfree, PayU, Stripe</t>
  </si>
  <si>
    <t xml:space="preserve">Percentage per transaction. Indian gateways handle UPI and GST invoicing.</t>
  </si>
  <si>
    <t xml:space="preserve">Phase 19+</t>
  </si>
  <si>
    <t xml:space="preserve">Telephony / number masking</t>
  </si>
  <si>
    <t xml:space="preserve">Route calls through proxy numbers.</t>
  </si>
  <si>
    <t xml:space="preserve">FUTURE (v1.2)</t>
  </si>
  <si>
    <t xml:space="preserve">Exotel, Knowlarity, Twilio Proxy</t>
  </si>
  <si>
    <t xml:space="preserve">Per-minute plus number rental. Meaningful ongoing cost.</t>
  </si>
  <si>
    <t xml:space="preserve">Post-MVP</t>
  </si>
  <si>
    <t xml:space="preserve">Push notification service</t>
  </si>
  <si>
    <t xml:space="preserve">Deliver push notifications to devices.</t>
  </si>
  <si>
    <t xml:space="preserve">Firebase Cloud Messaging, OneSignal</t>
  </si>
  <si>
    <t xml:space="preserve">Usually free at this scale.</t>
  </si>
  <si>
    <t xml:space="preserve">Search engine service</t>
  </si>
  <si>
    <t xml:space="preserve">Dedicated search cluster.</t>
  </si>
  <si>
    <t xml:space="preserve">Only when PostgreSQL search stops meeting latency budgets.</t>
  </si>
  <si>
    <t xml:space="preserve">OpenSearch, Elasticsearch, Typesense, Algolia</t>
  </si>
  <si>
    <t xml:space="preserve">Significant. Deliberately deferred — see the research's phased search plan.</t>
  </si>
  <si>
    <t xml:space="preserve">Image moderation / OCR</t>
  </si>
  <si>
    <t xml:space="preserve">Detect contact details and unsuitable content in photos.</t>
  </si>
  <si>
    <t xml:space="preserve">Protects the lead model; manual review alone does not scale.</t>
  </si>
  <si>
    <t xml:space="preserve">AWS Rekognition, Google Vision, self-hosted OCR</t>
  </si>
  <si>
    <t xml:space="preserve">Per-image. Start with cheap OCR for text detection only.</t>
  </si>
  <si>
    <t xml:space="preserve">Feature flags</t>
  </si>
  <si>
    <t xml:space="preserve">Roll out changes safely to a subset of users.</t>
  </si>
  <si>
    <t xml:space="preserve">Useful once there is enough traffic for staged rollout.</t>
  </si>
  <si>
    <t xml:space="preserve">PostHog, Unleash, LaunchDarkly</t>
  </si>
  <si>
    <t xml:space="preserve">Free tiers available.</t>
  </si>
  <si>
    <t xml:space="preserve">Customer support tooling</t>
  </si>
  <si>
    <t xml:space="preserve">Handle user queries and complaints.</t>
  </si>
  <si>
    <t xml:space="preserve">A support channel is a legal and practical necessity from day one.</t>
  </si>
  <si>
    <t xml:space="preserve">Email inbox at launch; Crisp, Freshdesk later</t>
  </si>
  <si>
    <t xml:space="preserve">Start with a monitored email address.</t>
  </si>
  <si>
    <t xml:space="preserve">Secrets manager</t>
  </si>
  <si>
    <t xml:space="preserve">Store credentials securely.</t>
  </si>
  <si>
    <t xml:space="preserve">AWS Secrets Manager, Doppler, Infisical, 1Password</t>
  </si>
  <si>
    <t xml:space="preserve">Low.</t>
  </si>
  <si>
    <t xml:space="preserve">Phase 17</t>
  </si>
  <si>
    <t xml:space="preserve">MONETIZATION ROADMAP — how the product makes money, and when</t>
  </si>
  <si>
    <t xml:space="preserve">Nothing is charged at launch, deliberately. The research's central finding is that the monetisable event is the contact reveal: instrument it from day one, charge for it later.</t>
  </si>
  <si>
    <t xml:space="preserve">Type</t>
  </si>
  <si>
    <t xml:space="preserve">Rationale</t>
  </si>
  <si>
    <t xml:space="preserve">Target Release</t>
  </si>
  <si>
    <t xml:space="preserve">Free listings for everyone</t>
  </si>
  <si>
    <t xml:space="preserve">Free</t>
  </si>
  <si>
    <t xml:space="preserve">All sellers can list at no cost during the first phase.</t>
  </si>
  <si>
    <t xml:space="preserve">You cannot charge before proving liquidity and lead quality. Charging on thin supply kills marketplaces.</t>
  </si>
  <si>
    <t xml:space="preserve">Free listing quota</t>
  </si>
  <si>
    <t xml:space="preserve">Quota</t>
  </si>
  <si>
    <t xml:space="preserve">Limit the number of free active listings per account.</t>
  </si>
  <si>
    <t xml:space="preserve">Creates the scarcity that later plans relieve. Build the accounting even while everything is free.</t>
  </si>
  <si>
    <t xml:space="preserve">Quota ledger (append-only)</t>
  </si>
  <si>
    <t xml:space="preserve">Infrastructure</t>
  </si>
  <si>
    <t xml:space="preserve">Record every quota consumption as an immutable ledger entry.</t>
  </si>
  <si>
    <t xml:space="preserve">Quota disputes are common; an append-only ledger is the only defensible answer.</t>
  </si>
  <si>
    <t xml:space="preserve">Lead instrumentation</t>
  </si>
  <si>
    <t xml:space="preserve">Record every enquiry and contact reveal as a first-class object.</t>
  </si>
  <si>
    <t xml:space="preserve">You cannot price what you cannot measure. This is the monetisable event.</t>
  </si>
  <si>
    <t xml:space="preserve">Lead quality measurement</t>
  </si>
  <si>
    <t xml:space="preserve">Track which leads sellers mark as qualified or closed.</t>
  </si>
  <si>
    <t xml:space="preserve">Lead quality — not volume — is what sellers will pay for.</t>
  </si>
  <si>
    <t xml:space="preserve">Buyer side stays free</t>
  </si>
  <si>
    <t xml:space="preserve">Policy</t>
  </si>
  <si>
    <t xml:space="preserve">Buyers and tenants never pay.</t>
  </si>
  <si>
    <t xml:space="preserve">Standard for the category; charging buyers destroys the demand side that sellers are paying to reach.</t>
  </si>
  <si>
    <t xml:space="preserve">Permanent</t>
  </si>
  <si>
    <t xml:space="preserve">Owner paid plan</t>
  </si>
  <si>
    <t xml:space="preserve">Subscription</t>
  </si>
  <si>
    <t xml:space="preserve">More listings, longer duration, verified badge, featured days, analytics.</t>
  </si>
  <si>
    <t xml:space="preserve">The individual-owner cohort is underserved by sales-assisted enterprise pricing.</t>
  </si>
  <si>
    <t xml:space="preserve">Agent starter plan</t>
  </si>
  <si>
    <t xml:space="preserve">Listing allowance, lead inbox, bulk upload, public profile.</t>
  </si>
  <si>
    <t xml:space="preserve">Agents are the recurring-revenue cohort.</t>
  </si>
  <si>
    <t xml:space="preserve">Payments, agent tools</t>
  </si>
  <si>
    <t xml:space="preserve">Agent pro plan</t>
  </si>
  <si>
    <t xml:space="preserve">Higher allowances, featured credits, priority placement, CRM export.</t>
  </si>
  <si>
    <t xml:space="preserve">Upgrade path for high-volume agents.</t>
  </si>
  <si>
    <t xml:space="preserve">Agent starter</t>
  </si>
  <si>
    <t xml:space="preserve">Builder package</t>
  </si>
  <si>
    <t xml:space="preserve">Project microsite, unlimited configurations, brand placement, campaign reporting.</t>
  </si>
  <si>
    <t xml:space="preserve">Builders have the largest marketing budgets in this category.</t>
  </si>
  <si>
    <t xml:space="preserve">Projects module</t>
  </si>
  <si>
    <t xml:space="preserve">Payments and GST invoicing</t>
  </si>
  <si>
    <t xml:space="preserve">Take payment and issue compliant invoices.</t>
  </si>
  <si>
    <t xml:space="preserve">Required before any money can be collected in India.</t>
  </si>
  <si>
    <t xml:space="preserve">Advertising</t>
  </si>
  <si>
    <t xml:space="preserve">Paid, clearly-labelled ranking boost with a bounded multiplier.</t>
  </si>
  <si>
    <t xml:space="preserve">Sells visibility without destroying the relevance that makes visibility valuable.</t>
  </si>
  <si>
    <t xml:space="preserve">Payments, ranking</t>
  </si>
  <si>
    <t xml:space="preserve">Top-slot placement by locality</t>
  </si>
  <si>
    <t xml:space="preserve">Fixed premium slots on specific locality result pages.</t>
  </si>
  <si>
    <t xml:space="preserve">High-value inventory because intent is unambiguous.</t>
  </si>
  <si>
    <t xml:space="preserve">Featured listings</t>
  </si>
  <si>
    <t xml:space="preserve">Promotion caps and labelling</t>
  </si>
  <si>
    <t xml:space="preserve">Never more than 2 promoted results in the first 10; always visibly labelled.</t>
  </si>
  <si>
    <t xml:space="preserve">Unbounded paid ranking destroys result quality and users detect it quickly.</t>
  </si>
  <si>
    <t xml:space="preserve">Homepage and city banners</t>
  </si>
  <si>
    <t xml:space="preserve">Display advertising placements.</t>
  </si>
  <si>
    <t xml:space="preserve">Additional inventory once traffic justifies it.</t>
  </si>
  <si>
    <t xml:space="preserve">Traffic volume</t>
  </si>
  <si>
    <t xml:space="preserve">Lead packages</t>
  </si>
  <si>
    <t xml:space="preserve">Lead monetization</t>
  </si>
  <si>
    <t xml:space="preserve">Sell blocks of leads rather than listing slots.</t>
  </si>
  <si>
    <t xml:space="preserve">Aligns price with value delivered rather than promises made.</t>
  </si>
  <si>
    <t xml:space="preserve">Lead quality data</t>
  </si>
  <si>
    <t xml:space="preserve">Verification as a paid add-on</t>
  </si>
  <si>
    <t xml:space="preserve">Charge for assisted or higher-tier verification.</t>
  </si>
  <si>
    <t xml:space="preserve">Verification has a real operational cost; charging funds the quality.</t>
  </si>
  <si>
    <t xml:space="preserve">Verification tiers</t>
  </si>
  <si>
    <t xml:space="preserve">Home loan referral</t>
  </si>
  <si>
    <t xml:space="preserve">Adjacent revenue</t>
  </si>
  <si>
    <t xml:space="preserve">Refer qualified buyers to lenders.</t>
  </si>
  <si>
    <t xml:space="preserve">A mortgage lead is worth far more than a listing lead; an EMI calculator qualifies users for free.</t>
  </si>
  <si>
    <t xml:space="preserve">Finance partners</t>
  </si>
  <si>
    <t xml:space="preserve">Rent agreement and tenant verification</t>
  </si>
  <si>
    <t xml:space="preserve">Offer paid transactional services around renting.</t>
  </si>
  <si>
    <t xml:space="preserve">Converts an event-driven business into a recurring one.</t>
  </si>
  <si>
    <t xml:space="preserve">Partners</t>
  </si>
  <si>
    <t xml:space="preserve">Self-serve pricing page</t>
  </si>
  <si>
    <t xml:space="preserve">Publish prices publicly rather than quoting by phone.</t>
  </si>
  <si>
    <t xml:space="preserve">Sales-assisted-only pricing excludes the long tail of individual owners — the cohort a new entrant can win.</t>
  </si>
  <si>
    <t xml:space="preserve">Plans</t>
  </si>
  <si>
    <t xml:space="preserve">Never sell undisclosed ranking</t>
  </si>
  <si>
    <t xml:space="preserve">All paid placement is labelled and bounded.</t>
  </si>
  <si>
    <t xml:space="preserve">Trust is the only durable advantage against an incumbent with more inventory.</t>
  </si>
  <si>
    <t xml:space="preserve">LAUNCH CHECKLIST — the final gate before going live</t>
  </si>
  <si>
    <t xml:space="preserve">Every item must be DONE or consciously DEFERRED. Work through this top to bottom in Phase 20. If an item is not true, you are not ready.</t>
  </si>
  <si>
    <t xml:space="preserve">What Must Be True</t>
  </si>
  <si>
    <t xml:space="preserve">Product</t>
  </si>
  <si>
    <t xml:space="preserve">MVP scope complete</t>
  </si>
  <si>
    <t xml:space="preserve">Every item marked MVP in the MVP CHECKLIST is DONE or consciously DEFERRED.</t>
  </si>
  <si>
    <t xml:space="preserve">Success metrics defined</t>
  </si>
  <si>
    <t xml:space="preserve">Targets agreed and measurable in the analytics dashboard.</t>
  </si>
  <si>
    <t xml:space="preserve">Launch cities confirmed</t>
  </si>
  <si>
    <t xml:space="preserve">Cities are named, and the gazetteer covers them fully.</t>
  </si>
  <si>
    <t xml:space="preserve">Minimum inventory reached</t>
  </si>
  <si>
    <t xml:space="preserve">Enough active listings exist that search is useful in every launch city.</t>
  </si>
  <si>
    <t xml:space="preserve">Research proposes 2,000+ across 3 cities.</t>
  </si>
  <si>
    <t xml:space="preserve">UI/UX</t>
  </si>
  <si>
    <t xml:space="preserve">All MVP screens built</t>
  </si>
  <si>
    <t xml:space="preserve">Every page marked MVP in WEBSITE PAGES exists and is reachable.</t>
  </si>
  <si>
    <t xml:space="preserve">Empty, loading and error states</t>
  </si>
  <si>
    <t xml:space="preserve">Every list and form has all three states designed and implemented.</t>
  </si>
  <si>
    <t xml:space="preserve">Mobile responsiveness verified</t>
  </si>
  <si>
    <t xml:space="preserve">Tested at 390, 412, 768, 1024 and 1280px with no layout defects.</t>
  </si>
  <si>
    <t xml:space="preserve">Accessibility pass</t>
  </si>
  <si>
    <t xml:space="preserve">Keyboard navigation works; focus visible; contrast meets AA.</t>
  </si>
  <si>
    <t xml:space="preserve">Original branding confirmed</t>
  </si>
  <si>
    <t xml:space="preserve">No competitor branding, wording, imagery or visual identity anywhere.</t>
  </si>
  <si>
    <t xml:space="preserve">Legal requirement, not a preference.</t>
  </si>
  <si>
    <t xml:space="preserve">Schema finalised for MVP</t>
  </si>
  <si>
    <t xml:space="preserve">All MVP tables exist with indexes and constraints.</t>
  </si>
  <si>
    <t xml:space="preserve">Migrations tested</t>
  </si>
  <si>
    <t xml:space="preserve">Migrations run forward and roll back cleanly on a copy of production.</t>
  </si>
  <si>
    <t xml:space="preserve">Seed and reference data loaded</t>
  </si>
  <si>
    <t xml:space="preserve">Property types, amenities and the gazetteer are populated.</t>
  </si>
  <si>
    <t xml:space="preserve">Backups running and restored once</t>
  </si>
  <si>
    <t xml:space="preserve">A real restore has been performed into a clean environment.</t>
  </si>
  <si>
    <t xml:space="preserve">Do not accept an untested backup.</t>
  </si>
  <si>
    <t xml:space="preserve">All MVP APIs implemented</t>
  </si>
  <si>
    <t xml:space="preserve">Every API marked MVP responds correctly including error cases.</t>
  </si>
  <si>
    <t xml:space="preserve">Health endpoint live</t>
  </si>
  <si>
    <t xml:space="preserve">Monitoring can confirm application and dependency health.</t>
  </si>
  <si>
    <t xml:space="preserve">Background workers running</t>
  </si>
  <si>
    <t xml:space="preserve">Image processing, moderation, notifications and indexing all process jobs.</t>
  </si>
  <si>
    <t xml:space="preserve">Rate limits active</t>
  </si>
  <si>
    <t xml:space="preserve">Search, OTP, reveal and upload endpoints are rate-limited.</t>
  </si>
  <si>
    <t xml:space="preserve">Server-side rendering verified</t>
  </si>
  <si>
    <t xml:space="preserve">Page source contains listing content without JavaScript enabled.</t>
  </si>
  <si>
    <t xml:space="preserve">No console errors</t>
  </si>
  <si>
    <t xml:space="preserve">No errors in the browser console on any core journey.</t>
  </si>
  <si>
    <t xml:space="preserve">Images optimised</t>
  </si>
  <si>
    <t xml:space="preserve">Modern formats, responsive sizes, correct lazy loading, reserved space.</t>
  </si>
  <si>
    <t xml:space="preserve">OTP delivery reliable</t>
  </si>
  <si>
    <t xml:space="preserve">Codes arrive within seconds on all major Indian networks.</t>
  </si>
  <si>
    <t xml:space="preserve">Verify DLT template approval is complete.</t>
  </si>
  <si>
    <t xml:space="preserve">Session handling correct</t>
  </si>
  <si>
    <t xml:space="preserve">Login persists; refresh works; logout revokes.</t>
  </si>
  <si>
    <t xml:space="preserve">Role permissions enforced</t>
  </si>
  <si>
    <t xml:space="preserve">Cross-role access attempts fail, verified by automated tests.</t>
  </si>
  <si>
    <t xml:space="preserve">All filters correct</t>
  </si>
  <si>
    <t xml:space="preserve">Every filter returns exactly the right results against seeded data.</t>
  </si>
  <si>
    <t xml:space="preserve">Facet counts correct</t>
  </si>
  <si>
    <t xml:space="preserve">Counts verified against manual expectation.</t>
  </si>
  <si>
    <t xml:space="preserve">No filter or sort action loses state, even when the API errors.</t>
  </si>
  <si>
    <t xml:space="preserve">The single most important quality bar for this product.</t>
  </si>
  <si>
    <t xml:space="preserve">Zero-result recovery works</t>
  </si>
  <si>
    <t xml:space="preserve">Relaxation ladder triggers and explains itself.</t>
  </si>
  <si>
    <t xml:space="preserve">Search latency within budget</t>
  </si>
  <si>
    <t xml:space="preserve">p95 within the PERFORMANCE sheet target at realistic volume.</t>
  </si>
  <si>
    <t xml:space="preserve">Wizard completes on mobile</t>
  </si>
  <si>
    <t xml:space="preserve">Five external users completed posting unaided; median under 8 minutes.</t>
  </si>
  <si>
    <t xml:space="preserve">Autosave verified</t>
  </si>
  <si>
    <t xml:space="preserve">Refreshing mid-form loses nothing.</t>
  </si>
  <si>
    <t xml:space="preserve">Photo upload reliable</t>
  </si>
  <si>
    <t xml:space="preserve">Works on a slow mobile connection with retry on failure.</t>
  </si>
  <si>
    <t xml:space="preserve">Quota enforced</t>
  </si>
  <si>
    <t xml:space="preserve">Over-quota publishing is blocked with a clear message.</t>
  </si>
  <si>
    <t xml:space="preserve">Enquiry delivered end to end</t>
  </si>
  <si>
    <t xml:space="preserve">Contact reveal records before revealing</t>
  </si>
  <si>
    <t xml:space="preserve">Inquiry is written before the number is displayed.</t>
  </si>
  <si>
    <t xml:space="preserve">Duplicate reveals deduplicated</t>
  </si>
  <si>
    <t xml:space="preserve">Repeat reveal creates no second billable lead.</t>
  </si>
  <si>
    <t xml:space="preserve">Contact details not leaked in API</t>
  </si>
  <si>
    <t xml:space="preserve">Raw network responses contain no seller phone number before reveal.</t>
  </si>
  <si>
    <t xml:space="preserve">Moderation queue operational</t>
  </si>
  <si>
    <t xml:space="preserve">Listings can be approved and rejected with reasons.</t>
  </si>
  <si>
    <t xml:space="preserve">Reports handled</t>
  </si>
  <si>
    <t xml:space="preserve">Reporting works and reports reach the queue with an SLA timer.</t>
  </si>
  <si>
    <t xml:space="preserve">Audit log recording</t>
  </si>
  <si>
    <t xml:space="preserve">Every admin action writes an immutable entry.</t>
  </si>
  <si>
    <t xml:space="preserve">Staff trained</t>
  </si>
  <si>
    <t xml:space="preserve">Whoever moderates knows the policy and the tools.</t>
  </si>
  <si>
    <t xml:space="preserve">Often forgotten; moderation quality depends on it.</t>
  </si>
  <si>
    <t xml:space="preserve">URLs final</t>
  </si>
  <si>
    <t xml:space="preserve">No indexable URL will change after launch.</t>
  </si>
  <si>
    <t xml:space="preserve">Changing URLs post-indexing costs ranking.</t>
  </si>
  <si>
    <t xml:space="preserve">Every page declares the intended canonical URL.</t>
  </si>
  <si>
    <t xml:space="preserve">Indexation rules applied</t>
  </si>
  <si>
    <t xml:space="preserve">App surface noindex; thin pages noindex; allowlist enforced.</t>
  </si>
  <si>
    <t xml:space="preserve">Sitemaps live and submitted</t>
  </si>
  <si>
    <t xml:space="preserve">Sitemap index generated, valid and submitted to Search Console.</t>
  </si>
  <si>
    <t xml:space="preserve">robots.txt correct</t>
  </si>
  <si>
    <t xml:space="preserve">Nothing in the sitemap is disallowed.</t>
  </si>
  <si>
    <t xml:space="preserve">Structured data valid</t>
  </si>
  <si>
    <t xml:space="preserve">JSON-LD validates on every page type.</t>
  </si>
  <si>
    <t xml:space="preserve">Property verified and coverage monitoring in place.</t>
  </si>
  <si>
    <t xml:space="preserve">Independent security review passed</t>
  </si>
  <si>
    <t xml:space="preserve">No secrets in the repository</t>
  </si>
  <si>
    <t xml:space="preserve">Git history verified clean.</t>
  </si>
  <si>
    <t xml:space="preserve">HTTPS enforced with HSTS</t>
  </si>
  <si>
    <t xml:space="preserve">HTTP redirects; certificate auto-renews.</t>
  </si>
  <si>
    <t xml:space="preserve">Security headers set</t>
  </si>
  <si>
    <t xml:space="preserve">CSP and related headers verified by an external scanner.</t>
  </si>
  <si>
    <t xml:space="preserve">PII protected</t>
  </si>
  <si>
    <t xml:space="preserve">Personal data encrypted at rest; lead access logged.</t>
  </si>
  <si>
    <t xml:space="preserve">All budgets met</t>
  </si>
  <si>
    <t xml:space="preserve">Every target in the PERFORMANCE sheet is green on five representative routes.</t>
  </si>
  <si>
    <t xml:space="preserve">CI performance gate active</t>
  </si>
  <si>
    <t xml:space="preserve">Builds fail on budget breach.</t>
  </si>
  <si>
    <t xml:space="preserve">Tested on a real mid-range phone</t>
  </si>
  <si>
    <t xml:space="preserve">Not only on a developer machine.</t>
  </si>
  <si>
    <t xml:space="preserve">Event tracking live</t>
  </si>
  <si>
    <t xml:space="preserve">Every funnel step is recorded and queryable.</t>
  </si>
  <si>
    <t xml:space="preserve">Funnel dashboard built</t>
  </si>
  <si>
    <t xml:space="preserve">Each success metric is visible as a number.</t>
  </si>
  <si>
    <t xml:space="preserve">Error monitoring live</t>
  </si>
  <si>
    <t xml:space="preserve">Errors alert a real person with full context.</t>
  </si>
  <si>
    <t xml:space="preserve">Terms and Conditions published</t>
  </si>
  <si>
    <t xml:space="preserve">Privacy policy published</t>
  </si>
  <si>
    <t xml:space="preserve">Describes data collected, retention and user rights.</t>
  </si>
  <si>
    <t xml:space="preserve">Verification scope disclaimer</t>
  </si>
  <si>
    <t xml:space="preserve">States exactly what a verified badge does and does not prove.</t>
  </si>
  <si>
    <t xml:space="preserve">Copy the honesty of this scoping — it is legally protective.</t>
  </si>
  <si>
    <t xml:space="preserve">Data-protection compliance</t>
  </si>
  <si>
    <t xml:space="preserve">Consent capture, retention limits and deletion flow all working.</t>
  </si>
  <si>
    <t xml:space="preserve">Contact and grievance channel</t>
  </si>
  <si>
    <t xml:space="preserve">A monitored support address and complaint process exist.</t>
  </si>
  <si>
    <t xml:space="preserve">Domain live</t>
  </si>
  <si>
    <t xml:space="preserve">Domain resolves, HTTPS works, www and apex behave consistently.</t>
  </si>
  <si>
    <t xml:space="preserve">Email deliverability</t>
  </si>
  <si>
    <t xml:space="preserve">SPF, DKIM and DMARC configured so transactional email is not spam-filed.</t>
  </si>
  <si>
    <t xml:space="preserve">Production deploy tested</t>
  </si>
  <si>
    <t xml:space="preserve">A full deploy has been performed successfully.</t>
  </si>
  <si>
    <t xml:space="preserve">A rollback has been performed on staging.</t>
  </si>
  <si>
    <t xml:space="preserve">Monitoring and alerting live</t>
  </si>
  <si>
    <t xml:space="preserve">A simulated outage produced an alert to a real person.</t>
  </si>
  <si>
    <t xml:space="preserve">Disaster recovery plan written</t>
  </si>
  <si>
    <t xml:space="preserve">RTO and RPO defined with named steps and owners.</t>
  </si>
  <si>
    <t xml:space="preserve">Testing</t>
  </si>
  <si>
    <t xml:space="preserve">Full test suite green</t>
  </si>
  <si>
    <t xml:space="preserve">All automated tests pass on the release build.</t>
  </si>
  <si>
    <t xml:space="preserve">User acceptance testing complete</t>
  </si>
  <si>
    <t xml:space="preserve">External users completed both posting and search journeys.</t>
  </si>
  <si>
    <t xml:space="preserve">Production smoke tests pass</t>
  </si>
  <si>
    <t xml:space="preserve">Post, search, contact and OTP verified on the live site.</t>
  </si>
  <si>
    <t xml:space="preserve">Cross-browser verified</t>
  </si>
  <si>
    <t xml:space="preserve">No blocking defect in Chrome, Safari, Firefox or Edge.</t>
  </si>
  <si>
    <t xml:space="preserve">Launch ops</t>
  </si>
  <si>
    <t xml:space="preserve">Support coverage arranged</t>
  </si>
  <si>
    <t xml:space="preserve">Someone is available to answer users in the first week.</t>
  </si>
  <si>
    <t xml:space="preserve">72-hour watch planned</t>
  </si>
  <si>
    <t xml:space="preserve">A person is assigned to monitor errors, performance and leads after launch.</t>
  </si>
  <si>
    <t xml:space="preserve">Rollback decision criteria agreed</t>
  </si>
  <si>
    <t xml:space="preserve">You know in advance what would make you roll back.</t>
  </si>
  <si>
    <t xml:space="preserve">POST-LAUNCH ROADMAP — what comes after launch</t>
  </si>
  <si>
    <t xml:space="preserve">Grouped into releases. Nothing here is invented: every item is either deferred from the MVP scope or recommended by the research document.</t>
  </si>
  <si>
    <t xml:space="preserve">Release</t>
  </si>
  <si>
    <t xml:space="preserve">Why</t>
  </si>
  <si>
    <t xml:space="preserve">Immediate (weeks 1–4)</t>
  </si>
  <si>
    <t xml:space="preserve">Triage and fix critical defects</t>
  </si>
  <si>
    <t xml:space="preserve">Stability</t>
  </si>
  <si>
    <t xml:space="preserve">Fix anything blocking a core journey.</t>
  </si>
  <si>
    <t xml:space="preserve">Broken core journeys destroy early word of mouth permanently.</t>
  </si>
  <si>
    <t xml:space="preserve">Measure against launch targets</t>
  </si>
  <si>
    <t xml:space="preserve">Compare actual funnel numbers to the agreed targets.</t>
  </si>
  <si>
    <t xml:space="preserve">Tells you whether to optimise or change direction.</t>
  </si>
  <si>
    <t xml:space="preserve">Conversion</t>
  </si>
  <si>
    <t xml:space="preserve">Focus entirely on whichever step is furthest from target.</t>
  </si>
  <si>
    <t xml:space="preserve">Review SEO indexation</t>
  </si>
  <si>
    <t xml:space="preserve">Check what actually got indexed and fix crawl errors.</t>
  </si>
  <si>
    <t xml:space="preserve">Indexation problems are invisible unless checked.</t>
  </si>
  <si>
    <t xml:space="preserve">Tune duplicate detection</t>
  </si>
  <si>
    <t xml:space="preserve">Quality</t>
  </si>
  <si>
    <t xml:space="preserve">Adjust thresholds using real listing data.</t>
  </si>
  <si>
    <t xml:space="preserve">Our stated differentiator; needs live data to calibrate.</t>
  </si>
  <si>
    <t xml:space="preserve">Reduce moderation backlog</t>
  </si>
  <si>
    <t xml:space="preserve">Operations</t>
  </si>
  <si>
    <t xml:space="preserve">Tune auto-approval so human review stays manageable.</t>
  </si>
  <si>
    <t xml:space="preserve">Slow review frustrates sellers and slows supply growth.</t>
  </si>
  <si>
    <t xml:space="preserve">v1.1 — Discovery</t>
  </si>
  <si>
    <t xml:space="preserve">Bounding-box search with clustered markers and list toggle.</t>
  </si>
  <si>
    <t xml:space="preserve">Highly requested in this category; deferred from MVP for cost and complexity.</t>
  </si>
  <si>
    <t xml:space="preserve">Saved searches with alerts</t>
  </si>
  <si>
    <t xml:space="preserve">Retention</t>
  </si>
  <si>
    <t xml:space="preserve">Let buyers save a search and be notified of new matches.</t>
  </si>
  <si>
    <t xml:space="preserve">The single best retention mechanism for a months-long decision.</t>
  </si>
  <si>
    <t xml:space="preserve">Buyer tools</t>
  </si>
  <si>
    <t xml:space="preserve">Side-by-side comparison with normalised area basis and price per unit.</t>
  </si>
  <si>
    <t xml:space="preserve">Buyers build these spreadsheets manually today — a real differentiator.</t>
  </si>
  <si>
    <t xml:space="preserve">Recent searches sync</t>
  </si>
  <si>
    <t xml:space="preserve">Persist recent searches across devices for logged-in users.</t>
  </si>
  <si>
    <t xml:space="preserve">Property search spans weeks and multiple devices.</t>
  </si>
  <si>
    <t xml:space="preserve">WhatsApp contact option</t>
  </si>
  <si>
    <t xml:space="preserve">Offer WhatsApp as a contact channel.</t>
  </si>
  <si>
    <t xml:space="preserve">Dominant communication channel in the Indian market.</t>
  </si>
  <si>
    <t xml:space="preserve">v1.2 — Trust</t>
  </si>
  <si>
    <t xml:space="preserve">Trust</t>
  </si>
  <si>
    <t xml:space="preserve">Route calls through proxy numbers by default for owner listings.</t>
  </si>
  <si>
    <t xml:space="preserve">Not evidenced at the incumbent; protects sellers from long-term spam.</t>
  </si>
  <si>
    <t xml:space="preserve">Seller response-rate badges</t>
  </si>
  <si>
    <t xml:space="preserve">Show how quickly and how often a seller responds.</t>
  </si>
  <si>
    <t xml:space="preserve">Response speed is the strongest driver of lead conversion.</t>
  </si>
  <si>
    <t xml:space="preserve">Last-verified date on listings</t>
  </si>
  <si>
    <t xml:space="preserve">Show when a listing was last confirmed as available.</t>
  </si>
  <si>
    <t xml:space="preserve">Directly attacks the category's biggest complaint: dead listings.</t>
  </si>
  <si>
    <t xml:space="preserve">Automatic stale-listing expiry tuning</t>
  </si>
  <si>
    <t xml:space="preserve">Refine expiry windows using real availability data.</t>
  </si>
  <si>
    <t xml:space="preserve">Keeps the catalogue honest without annoying active sellers.</t>
  </si>
  <si>
    <t xml:space="preserve">v1.3 — Monetisation</t>
  </si>
  <si>
    <t xml:space="preserve">Revenue</t>
  </si>
  <si>
    <t xml:space="preserve">Owner and agent plans with quotas and features.</t>
  </si>
  <si>
    <t xml:space="preserve">Only after lead quality is proven.</t>
  </si>
  <si>
    <t xml:space="preserve">Integrate a payment gateway with compliant invoicing.</t>
  </si>
  <si>
    <t xml:space="preserve">Required to collect money in India.</t>
  </si>
  <si>
    <t xml:space="preserve">Featured listings (bounded, labelled)</t>
  </si>
  <si>
    <t xml:space="preserve">Paid placement with a capped boost and visible labelling.</t>
  </si>
  <si>
    <t xml:space="preserve">Sells visibility without destroying relevance.</t>
  </si>
  <si>
    <t xml:space="preserve">Publish plan pricing publicly.</t>
  </si>
  <si>
    <t xml:space="preserve">Captures the individual-owner long tail that phone-quoted pricing excludes.</t>
  </si>
  <si>
    <t xml:space="preserve">Seller analytics upgrade</t>
  </si>
  <si>
    <t xml:space="preserve">Deeper performance data for paying sellers.</t>
  </si>
  <si>
    <t xml:space="preserve">Creates the upgrade conversation.</t>
  </si>
  <si>
    <t xml:space="preserve">v1.4 — Supply depth</t>
  </si>
  <si>
    <t xml:space="preserve">Catalogue</t>
  </si>
  <si>
    <t xml:space="preserve">Add commercial with its own field schema and filters.</t>
  </si>
  <si>
    <t xml:space="preserve">Expands addressable supply; deferred because it is a full second schema.</t>
  </si>
  <si>
    <t xml:space="preserve">Add PG with gender, meals and sharing fields.</t>
  </si>
  <si>
    <t xml:space="preserve">Different economics and a fast-moving rental segment.</t>
  </si>
  <si>
    <t xml:space="preserve">Plots and land category</t>
  </si>
  <si>
    <t xml:space="preserve">Add plots with dimensions and boundary fields.</t>
  </si>
  <si>
    <t xml:space="preserve">Distinct buyer type with no BHK concept.</t>
  </si>
  <si>
    <t xml:space="preserve">Agent public profiles</t>
  </si>
  <si>
    <t xml:space="preserve">Agent tools</t>
  </si>
  <si>
    <t xml:space="preserve">Public agent pages with listings and areas served.</t>
  </si>
  <si>
    <t xml:space="preserve">Agents are the paying cohort; profiles are a retention feature.</t>
  </si>
  <si>
    <t xml:space="preserve">Agent bulk upload and feeds</t>
  </si>
  <si>
    <t xml:space="preserve">Bulk listing creation by file or feed.</t>
  </si>
  <si>
    <t xml:space="preserve">Power users cannot work listing by listing.</t>
  </si>
  <si>
    <t xml:space="preserve">Assignment, follow-up reminders and export.</t>
  </si>
  <si>
    <t xml:space="preserve">Retention mechanism for the paying cohort.</t>
  </si>
  <si>
    <t xml:space="preserve">v1.5 — Projects</t>
  </si>
  <si>
    <t xml:space="preserve">Project entity and configurations</t>
  </si>
  <si>
    <t xml:space="preserve">Different buyer psychology and the highest-value advertising inventory.</t>
  </si>
  <si>
    <t xml:space="preserve">Builder profiles and microsites</t>
  </si>
  <si>
    <t xml:space="preserve">Builder tools</t>
  </si>
  <si>
    <t xml:space="preserve">Developer pages and project microsites.</t>
  </si>
  <si>
    <t xml:space="preserve">Builders have the largest marketing budgets.</t>
  </si>
  <si>
    <t xml:space="preserve">Brochure and payment-plan hosting</t>
  </si>
  <si>
    <t xml:space="preserve">Gated document downloads.</t>
  </si>
  <si>
    <t xml:space="preserve">The canonical builder lead magnet: high intent, low friction.</t>
  </si>
  <si>
    <t xml:space="preserve">RERA cross-verification</t>
  </si>
  <si>
    <t xml:space="preserve">Check declared RERA IDs against state registries where feasible.</t>
  </si>
  <si>
    <t xml:space="preserve">Meaningful trust signal; complex because each state differs.</t>
  </si>
  <si>
    <t xml:space="preserve">v2.0 — Data &amp; content</t>
  </si>
  <si>
    <t xml:space="preserve">Locality hub pages at scale</t>
  </si>
  <si>
    <t xml:space="preserve">Rich locality pages across all covered cities.</t>
  </si>
  <si>
    <t xml:space="preserve">Locality reviews and ratings</t>
  </si>
  <si>
    <t xml:space="preserve">Resident reviews on environment, connectivity and safety.</t>
  </si>
  <si>
    <t xml:space="preserve">Needs a user base first; an empty review section damages trust.</t>
  </si>
  <si>
    <t xml:space="preserve">Rate-per-area and appreciation data by locality.</t>
  </si>
  <si>
    <t xml:space="preserve">Needs historical data and a minimum sample size to be credible.</t>
  </si>
  <si>
    <t xml:space="preserve">Generate the full combinatorial page matrix with governance.</t>
  </si>
  <si>
    <t xml:space="preserve">OpenSearch migration</t>
  </si>
  <si>
    <t xml:space="preserve">Move search to a dedicated cluster.</t>
  </si>
  <si>
    <t xml:space="preserve">Only when PostgreSQL stops meeting latency budgets — a measured trigger.</t>
  </si>
  <si>
    <t xml:space="preserve">Acquire real boundary geometry city by city.</t>
  </si>
  <si>
    <t xml:space="preserve">Enables true polygon search and accurate pin validation.</t>
  </si>
  <si>
    <t xml:space="preserve">v2.1 — Intelligence</t>
  </si>
  <si>
    <t xml:space="preserve">Train ranking on click and contact signals.</t>
  </si>
  <si>
    <t xml:space="preserve">Needs traffic volume before it can learn anything useful.</t>
  </si>
  <si>
    <t xml:space="preserve">Personalised recommendations</t>
  </si>
  <si>
    <t xml:space="preserve">Recommend listings based on behaviour.</t>
  </si>
  <si>
    <t xml:space="preserve">Improves engagement once there is behavioural data.</t>
  </si>
  <si>
    <t xml:space="preserve">Semantic / natural-language search</t>
  </si>
  <si>
    <t xml:space="preserve">Support queries like 'near a good school with a park'.</t>
  </si>
  <si>
    <t xml:space="preserve">Differentiating but only worthwhile at scale.</t>
  </si>
  <si>
    <t xml:space="preserve">Lead scoring</t>
  </si>
  <si>
    <t xml:space="preserve">Score lead quality to sell fewer, better leads.</t>
  </si>
  <si>
    <t xml:space="preserve">Directly attacks the incumbent's weakest commercial point.</t>
  </si>
  <si>
    <t xml:space="preserve">Price estimation</t>
  </si>
  <si>
    <t xml:space="preserve">Estimate a fair price range for a listing.</t>
  </si>
  <si>
    <t xml:space="preserve">High-value trust feature; requires substantial data.</t>
  </si>
  <si>
    <t xml:space="preserve">v2.2 — Adjacent revenue</t>
  </si>
  <si>
    <t xml:space="preserve">Home loan marketplace</t>
  </si>
  <si>
    <t xml:space="preserve">A mortgage lead is worth far more than a listing lead.</t>
  </si>
  <si>
    <t xml:space="preserve">Loan calculators as an SEO and qualification asset.</t>
  </si>
  <si>
    <t xml:space="preserve">Cheap to build, high intent, strong SEO — could come earlier.</t>
  </si>
  <si>
    <t xml:space="preserve">Rent agreements and tenant verification</t>
  </si>
  <si>
    <t xml:space="preserve">Paid transactional services around renting.</t>
  </si>
  <si>
    <t xml:space="preserve">Converts an event business into a recurring one.</t>
  </si>
  <si>
    <t xml:space="preserve">v3.0 — Platform</t>
  </si>
  <si>
    <t xml:space="preserve">Platform</t>
  </si>
  <si>
    <t xml:space="preserve">iOS and Android applications.</t>
  </si>
  <si>
    <t xml:space="preserve">Only if launch data justifies two more codebases.</t>
  </si>
  <si>
    <t xml:space="preserve">Partner API</t>
  </si>
  <si>
    <t xml:space="preserve">Documented API for partners and feeds.</t>
  </si>
  <si>
    <t xml:space="preserve">Enables agent software integrations and supply partnerships.</t>
  </si>
  <si>
    <t xml:space="preserve">Multi-language support</t>
  </si>
  <si>
    <t xml:space="preserve">Localise the interface and content.</t>
  </si>
  <si>
    <t xml:space="preserve">Additional cities and regions</t>
  </si>
  <si>
    <t xml:space="preserve">Growth</t>
  </si>
  <si>
    <t xml:space="preserve">Expand geographic coverage.</t>
  </si>
  <si>
    <t xml:space="preserve">Growth lever once the model is proven in the launch cities.</t>
  </si>
  <si>
    <t xml:space="preserve">Long-term</t>
  </si>
  <si>
    <t xml:space="preserve">Microservice extraction</t>
  </si>
  <si>
    <t xml:space="preserve">Split modules into services only if team size and load require it.</t>
  </si>
  <si>
    <t xml:space="preserve">A solution to an organisational problem you do not yet have.</t>
  </si>
  <si>
    <t xml:space="preserve">DECISIONS LOG — questions only YOU can answer</t>
  </si>
  <si>
    <t xml:space="preserve">THE MOST IMPORTANT SHEET FOR YOU. Nothing is decided automatically. Review weekly: write your answer in 'Final Decision', set the date, and change Decision Status to DECIDED.</t>
  </si>
  <si>
    <t xml:space="preserve">Decision ID</t>
  </si>
  <si>
    <t xml:space="preserve">Decision</t>
  </si>
  <si>
    <t xml:space="preserve">Options</t>
  </si>
  <si>
    <t xml:space="preserve">Recommended / Proposed Direction</t>
  </si>
  <si>
    <t xml:space="preserve">Impact</t>
  </si>
  <si>
    <t xml:space="preserve">Decision Status</t>
  </si>
  <si>
    <t xml:space="preserve">Final Decision</t>
  </si>
  <si>
    <t xml:space="preserve">Date</t>
  </si>
  <si>
    <t xml:space="preserve">D-01</t>
  </si>
  <si>
    <t xml:space="preserve">Frontend framework and language</t>
  </si>
  <si>
    <t xml:space="preserve">(a) Next.js + React + TypeScript  (b) Remix  (c) Nuxt/Vue  (d) Plain React SPA</t>
  </si>
  <si>
    <t xml:space="preserve">Next.js (App Router) + React + TypeScript</t>
  </si>
  <si>
    <t xml:space="preserve">Server-side rendering is a hard requirement for the SEO architecture. Option (d) cannot deliver it without a rewrite. Research §22.</t>
  </si>
  <si>
    <t xml:space="preserve">Very high — affects every frontend task, hiring, and whether SEO works at all.</t>
  </si>
  <si>
    <t xml:space="preserve">OPEN — DECISION REQUIRED</t>
  </si>
  <si>
    <t xml:space="preserve">D-02</t>
  </si>
  <si>
    <t xml:space="preserve">Backend framework and architecture style</t>
  </si>
  <si>
    <t xml:space="preserve">(a) NestJS modular monolith (TypeScript)  (b) Spring Boot (Java)  (c) Django (Python)  (d) Microservices from day one</t>
  </si>
  <si>
    <t xml:space="preserve">NestJS modular monolith</t>
  </si>
  <si>
    <t xml:space="preserve">Same language as the frontend means shared types and one skill set for a small team. Microservices solve an organisational problem you do not have yet. Research §21.1, §22.</t>
  </si>
  <si>
    <t xml:space="preserve">Very high — affects hiring, libraries, deployment and delivery speed.</t>
  </si>
  <si>
    <t xml:space="preserve">D-03</t>
  </si>
  <si>
    <t xml:space="preserve">Primary database</t>
  </si>
  <si>
    <t xml:space="preserve">(a) PostgreSQL + PostGIS  (b) MySQL  (c) MongoDB</t>
  </si>
  <si>
    <t xml:space="preserve">PostgreSQL 16 + PostGIS</t>
  </si>
  <si>
    <t xml:space="preserve">One engine covers relational data, geospatial search, full-text search and JSON for the entire first phase. Research §22.</t>
  </si>
  <si>
    <t xml:space="preserve">Very high — the data model constrains everything built on it.</t>
  </si>
  <si>
    <t xml:space="preserve">D-04</t>
  </si>
  <si>
    <t xml:space="preserve">Search engine approach</t>
  </si>
  <si>
    <t xml:space="preserve">(a) PostgreSQL only, migrate later  (b) OpenSearch/Elasticsearch from day one  (c) Hosted search (Algolia/Typesense)</t>
  </si>
  <si>
    <t xml:space="preserve">PostgreSQL first; add OpenSearch at a measured trigger</t>
  </si>
  <si>
    <t xml:space="preserve">Running a search cluster before there is data to justify it adds operational burden for no benefit. Set an explicit migration trigger (listing count or facet latency). Research §13.3.</t>
  </si>
  <si>
    <t xml:space="preserve">High — but reversible if the index is kept as a derived, rebuildable projection.</t>
  </si>
  <si>
    <t xml:space="preserve">D-05</t>
  </si>
  <si>
    <t xml:space="preserve">Image and object storage</t>
  </si>
  <si>
    <t xml:space="preserve">(a) Cloudflare R2  (b) AWS S3  (c) Google Cloud Storage</t>
  </si>
  <si>
    <t xml:space="preserve">R2 or S3, decided together with hosting (D-07)</t>
  </si>
  <si>
    <t xml:space="preserve">This is an image-heavy product, so egress cost matters. R2 charges no egress; S3 does. Compare against where the rest of the stack lives.</t>
  </si>
  <si>
    <t xml:space="preserve">Medium — migration is possible but tedious once there are many files.</t>
  </si>
  <si>
    <t xml:space="preserve">Maps and geocoding provider</t>
  </si>
  <si>
    <t xml:space="preserve">(a) MapLibre + open vector tiles  (b) Google Maps Platform  (c) Mapbox</t>
  </si>
  <si>
    <t xml:space="preserve">Decide with a cost model before Phase 6</t>
  </si>
  <si>
    <t xml:space="preserve">MapLibre avoids per-load billing; Google has better Indian place data and autocomplete. This is a genuine trade-off between cost and data quality. Research §22.</t>
  </si>
  <si>
    <t xml:space="preserve">Medium-high — affects cost at scale and the quality of location search.</t>
  </si>
  <si>
    <t xml:space="preserve">D-07</t>
  </si>
  <si>
    <t xml:space="preserve">Hosting and cloud provider</t>
  </si>
  <si>
    <t xml:space="preserve">(a) Vercel (frontend) + managed containers (backend)  (b) Single cloud — AWS/GCP  (c) Simplified platform — Railway/Render/Fly</t>
  </si>
  <si>
    <t xml:space="preserve">Start managed; avoid Kubernetes until the team needs it</t>
  </si>
  <si>
    <t xml:space="preserve">Operational simplicity is worth more than theoretical flexibility at launch. Research §22 explicitly defers Kubernetes.</t>
  </si>
  <si>
    <t xml:space="preserve">High — affects cost, deployment complexity and every DevOps task.</t>
  </si>
  <si>
    <t xml:space="preserve">D-08</t>
  </si>
  <si>
    <t xml:space="preserve">Authentication and session strategy</t>
  </si>
  <si>
    <t xml:space="preserve">(a) Own OTP flow + JWT access with rotating refresh  (b) Managed auth provider  (c) Session cookies only</t>
  </si>
  <si>
    <t xml:space="preserve">Own OTP flow with rotating refresh tokens</t>
  </si>
  <si>
    <t xml:space="preserve">Authentication is core to this product (roles, quotas, contact-reveal gating), and OTP-first is the right pattern for India. Research §22.</t>
  </si>
  <si>
    <t xml:space="preserve">High — security-critical and hard to change after launch.</t>
  </si>
  <si>
    <t xml:space="preserve">D-09</t>
  </si>
  <si>
    <t xml:space="preserve">OTP / SMS provider</t>
  </si>
  <si>
    <t xml:space="preserve">(a) MSG91  (b) Twilio  (c) AWS SNS  (d) Gupshup</t>
  </si>
  <si>
    <t xml:space="preserve">Choose an India-focused provider and start DLT registration EARLY</t>
  </si>
  <si>
    <t xml:space="preserve">DLT template registration is legally required in India and has a lead time that can delay launch. Decide before Phase 5.</t>
  </si>
  <si>
    <t xml:space="preserve">High — nothing in the product works without reliable OTP delivery.</t>
  </si>
  <si>
    <t xml:space="preserve">D-10</t>
  </si>
  <si>
    <t xml:space="preserve">Analytics stack</t>
  </si>
  <si>
    <t xml:space="preserve">(a) PostHog (events + flags + replay)  (b) Own pipeline to a warehouse + GA4  (c) GA4 only</t>
  </si>
  <si>
    <t xml:space="preserve">PostHog or an owned pipeline; GA4 alone is not enough</t>
  </si>
  <si>
    <t xml:space="preserve">The lead funnel is the business. GA4 cannot answer lead-level questions. Research §22 calls owning event data non-negotiable.</t>
  </si>
  <si>
    <t xml:space="preserve">Medium-high — retrofitting event tracking loses all historical data.</t>
  </si>
  <si>
    <t xml:space="preserve">D-11</t>
  </si>
  <si>
    <t xml:space="preserve">MVP launch cities</t>
  </si>
  <si>
    <t xml:space="preserve">(a) One city  (b) Three cities  (c) One metro plus its satellite towns</t>
  </si>
  <si>
    <t xml:space="preserve">Research proposes three cities — YOU MUST NAME THEM</t>
  </si>
  <si>
    <t xml:space="preserve">Cities determine the gazetteer work, the supply plan and the inventory target. This is a business decision only you can make. Research §24.</t>
  </si>
  <si>
    <t xml:space="preserve">Very high — determines scope, effort and whether launch inventory is achievable.</t>
  </si>
  <si>
    <t xml:space="preserve">D-12</t>
  </si>
  <si>
    <t xml:space="preserve">Property categories in MVP</t>
  </si>
  <si>
    <t xml:space="preserve">(a) Residential Buy + Rent only  (b) Add Commercial  (c) Add PG  (d) Add Plots</t>
  </si>
  <si>
    <t xml:space="preserve">Residential Buy + Rent only</t>
  </si>
  <si>
    <t xml:space="preserve">Each additional category is a full field schema, filter set and landing-page family. Research §24 defers all three.</t>
  </si>
  <si>
    <t xml:space="preserve">High — each category added roughly extends the posting and search work.</t>
  </si>
  <si>
    <t xml:space="preserve">D-13</t>
  </si>
  <si>
    <t xml:space="preserve">User roles at launch</t>
  </si>
  <si>
    <t xml:space="preserve">(a) Buyer + Owner only  (b) Buyer + Owner + Agent  (c) All including Builder</t>
  </si>
  <si>
    <t xml:space="preserve">Buyer + Owner, with Agent as a flagged role but no agent tooling</t>
  </si>
  <si>
    <t xml:space="preserve">Agent tooling (bulk upload, CRM) is a v1.4 item. But you must decide now whether agents may post at all, because it affects moderation and quota policy.</t>
  </si>
  <si>
    <t xml:space="preserve">High — affects moderation load, quota design and supply volume.</t>
  </si>
  <si>
    <t xml:space="preserve">'Similar properties' in MVP — research conflict</t>
  </si>
  <si>
    <t xml:space="preserve">(a) Include in MVP  (b) Defer to v1.1</t>
  </si>
  <si>
    <t xml:space="preserve">Confirm one way</t>
  </si>
  <si>
    <t xml:space="preserve">The research document is internally inconsistent: §24 lists similar properties in MVP scope, while §23 places it in the post-MVP discovery phase. Flagged rather than silently resolved.</t>
  </si>
  <si>
    <t xml:space="preserve">Low-medium — a contained feature, but it should be consciously decided.</t>
  </si>
  <si>
    <t xml:space="preserve">D-15</t>
  </si>
  <si>
    <t xml:space="preserve">Mobile strategy: PWA or native</t>
  </si>
  <si>
    <t xml:space="preserve">(a) PWA only  (b) PWA then native  (c) Native immediately  (d) React Native / Flutter</t>
  </si>
  <si>
    <t xml:space="preserve">PWA first; decide on native only after launch data</t>
  </si>
  <si>
    <t xml:space="preserve">Native means two more codebases, release cycles and store reviews. Research §20.3 suggests a PWA covers v1. Do not decide before you have real usage data.</t>
  </si>
  <si>
    <t xml:space="preserve">Very high — native development is one of the largest cost items available.</t>
  </si>
  <si>
    <t xml:space="preserve">D-16</t>
  </si>
  <si>
    <t xml:space="preserve">Monetisation model and timing</t>
  </si>
  <si>
    <t xml:space="preserve">(a) Free until liquidity proven, then subscriptions  (b) Charge from launch  (c) Commission per transaction</t>
  </si>
  <si>
    <t xml:space="preserve">Free first; subscriptions at v1.3</t>
  </si>
  <si>
    <t xml:space="preserve">Charging before proving lead quality kills marketplaces. The research's core finding is that the monetisable event is the contact reveal — instrument it now, charge later.</t>
  </si>
  <si>
    <t xml:space="preserve">High — affects supply growth, pricing credibility and cash flow.</t>
  </si>
  <si>
    <t xml:space="preserve">D-17</t>
  </si>
  <si>
    <t xml:space="preserve">Brand name and domain</t>
  </si>
  <si>
    <t xml:space="preserve">Open</t>
  </si>
  <si>
    <t xml:space="preserve">Must be original and trademark-checked</t>
  </si>
  <si>
    <t xml:space="preserve">Needed before design, SEO and any public artefact. Must not resemble any competitor's branding.</t>
  </si>
  <si>
    <t xml:space="preserve">Very high — effectively irreversible once indexed.</t>
  </si>
  <si>
    <t xml:space="preserve">D-18</t>
  </si>
  <si>
    <t xml:space="preserve">Free listing quota per owner</t>
  </si>
  <si>
    <t xml:space="preserve">(a) 1  (b) 2  (c) 3  (d) Unlimited during launch</t>
  </si>
  <si>
    <t xml:space="preserve">Research observed the incumbent offering 1–2; consider unlimited during the supply-building phase</t>
  </si>
  <si>
    <t xml:space="preserve">Too tight a quota starves you of launch supply. Too loose makes later monetisation harder. Revisit after launch.</t>
  </si>
  <si>
    <t xml:space="preserve">Medium — adjustable, but changing it later annoys existing sellers.</t>
  </si>
  <si>
    <t xml:space="preserve">D-19</t>
  </si>
  <si>
    <t xml:space="preserve">Thin-content indexation threshold</t>
  </si>
  <si>
    <t xml:space="preserve">(a) 3 listings  (b) 5 listings  (c) 10 listings</t>
  </si>
  <si>
    <t xml:space="preserve">Research proposes at least 5 active listings</t>
  </si>
  <si>
    <t xml:space="preserve">Too low and you index near-empty pages, risking demotion. Too high and you forgo long-tail traffic. Research §16.5.</t>
  </si>
  <si>
    <t xml:space="preserve">Medium — tunable, but mistakes here damage domain-level SEO.</t>
  </si>
  <si>
    <t xml:space="preserve">D-20</t>
  </si>
  <si>
    <t xml:space="preserve">Locality data source</t>
  </si>
  <si>
    <t xml:space="preserve">(a) Open data  (b) Commercial dataset  (c) Manual compilation  (d) Hybrid</t>
  </si>
  <si>
    <t xml:space="preserve">Decide before Phase 6 — this blocks a lot of work</t>
  </si>
  <si>
    <t xml:space="preserve">The gazetteer is the most important table in the system and cannot be generated. Boundary polygons in particular are a genuine acquisition project. Research §20.4.</t>
  </si>
  <si>
    <t xml:space="preserve">Very high — blocks search, SEO, posting and statistics.</t>
  </si>
  <si>
    <t xml:space="preserve">D-21</t>
  </si>
  <si>
    <t xml:space="preserve">Listing expiry period</t>
  </si>
  <si>
    <t xml:space="preserve">(a) 30 days  (b) 60 days  (c) 90 days</t>
  </si>
  <si>
    <t xml:space="preserve">Choose deliberately and prompt before expiry</t>
  </si>
  <si>
    <t xml:space="preserve">Stale listings are the category's biggest trust problem and our stated differentiator. Shorter expiry means fresher catalogue but more seller friction.</t>
  </si>
  <si>
    <t xml:space="preserve">Medium — directly affects perceived catalogue quality.</t>
  </si>
  <si>
    <t xml:space="preserve">D-22</t>
  </si>
  <si>
    <t xml:space="preserve">Photo limit per listing</t>
  </si>
  <si>
    <t xml:space="preserve">(a) 20  (b) 30  (c) 50</t>
  </si>
  <si>
    <t xml:space="preserve">Research proposes 30 for MVP (the incumbent allows 50)</t>
  </si>
  <si>
    <t xml:space="preserve">Higher limits increase storage, processing and moderation cost. Start conservative and raise it if sellers ask.</t>
  </si>
  <si>
    <t xml:space="preserve">Low — easily adjusted later.</t>
  </si>
  <si>
    <t xml:space="preserve">D-23</t>
  </si>
  <si>
    <t xml:space="preserve">Who builds this</t>
  </si>
  <si>
    <t xml:space="preserve">(a) Solo with AI assistance  (b) Hire developers  (c) Agency  (d) Technical co-founder</t>
  </si>
  <si>
    <t xml:space="preserve">Open — affects every effort estimate in this workbook</t>
  </si>
  <si>
    <t xml:space="preserve">The effort estimates assume competent full-time development. Adjust all timelines to your actual capacity. Be honest about this.</t>
  </si>
  <si>
    <t xml:space="preserve">Very high — determines whether the roadmap timeline is realistic at all.</t>
  </si>
  <si>
    <t xml:space="preserve">D-24</t>
  </si>
  <si>
    <t xml:space="preserve">Payment gateway (future)</t>
  </si>
  <si>
    <t xml:space="preserve">(a) Razorpay  (b) Cashfree  (c) PayU  (d) Stripe</t>
  </si>
  <si>
    <t xml:space="preserve">Defer until v1.3; Indian gateways handle UPI and GST invoicing</t>
  </si>
  <si>
    <t xml:space="preserve">Do not integrate payments before monetisation begins. Research §22.</t>
  </si>
  <si>
    <t xml:space="preserve">Medium — deferred, so low cost to decide late.</t>
  </si>
  <si>
    <t xml:space="preserve">D-25</t>
  </si>
  <si>
    <t xml:space="preserve">ORM / database access layer</t>
  </si>
  <si>
    <t xml:space="preserve">(a) Prisma  (b) Drizzle  (c) TypeORM  (d) Raw SQL with a query builder</t>
  </si>
  <si>
    <t xml:space="preserve">Prisma, dropping to raw SQL for hot search paths</t>
  </si>
  <si>
    <t xml:space="preserve">Type-safe with good migrations, but search queries usually need hand-written SQL anyway. Research §22.</t>
  </si>
  <si>
    <t xml:space="preserve">Medium — changing it later is a large refactor.</t>
  </si>
  <si>
    <t xml:space="preserve">GLOSSARY — every technical term in plain English</t>
  </si>
  <si>
    <t xml:space="preserve">If a word anywhere in this workbook is unfamiliar, look here first. No prior technical knowledge is assumed.</t>
  </si>
  <si>
    <t xml:space="preserve">Term</t>
  </si>
  <si>
    <t xml:space="preserve">Plain-English Meaning</t>
  </si>
  <si>
    <t xml:space="preserve">Why It Matters For This Project</t>
  </si>
  <si>
    <t xml:space="preserve">Where You Will See It</t>
  </si>
  <si>
    <t xml:space="preserve">A way for one program to ask another program for data or to do something. Like a waiter carrying orders between you and the kitchen.</t>
  </si>
  <si>
    <t xml:space="preserve">Your website (frontend) talks to your server (backend) through APIs. Every button that loads data calls one.</t>
  </si>
  <si>
    <t xml:space="preserve">API CHECKLIST sheet; Phases 4–12</t>
  </si>
  <si>
    <t xml:space="preserve">Everything the user sees and clicks in their browser or app.</t>
  </si>
  <si>
    <t xml:space="preserve">This is where your design system, pages and interactions live.</t>
  </si>
  <si>
    <t xml:space="preserve">UI/UX CHECKLIST; WEBSITE PAGES; Phase 3</t>
  </si>
  <si>
    <t xml:space="preserve">The part that runs on your servers: business rules, database access, security. Users never see it directly.</t>
  </si>
  <si>
    <t xml:space="preserve">Where listings are stored, leads are recorded and permissions are enforced.</t>
  </si>
  <si>
    <t xml:space="preserve">Phases 4–13; API CHECKLIST</t>
  </si>
  <si>
    <t xml:space="preserve">An organised store of your data — users, listings, leads — that can be searched and updated reliably.</t>
  </si>
  <si>
    <t xml:space="preserve">The single most important technical asset you own. Everything else can be rebuilt.</t>
  </si>
  <si>
    <t xml:space="preserve">DATABASE sheet; Phase 4</t>
  </si>
  <si>
    <t xml:space="preserve">PostgreSQL</t>
  </si>
  <si>
    <t xml:space="preserve">A specific, free, very reliable database system. Often shortened to 'Postgres'.</t>
  </si>
  <si>
    <t xml:space="preserve">Recommended as your main database because it handles text search, location search and normal data in one system.</t>
  </si>
  <si>
    <t xml:space="preserve">DECISIONS LOG D-03; Phase 4</t>
  </si>
  <si>
    <t xml:space="preserve">PostGIS</t>
  </si>
  <si>
    <t xml:space="preserve">An add-on for PostgreSQL that understands maps and locations — distances, areas, 'what is inside this boundary'.</t>
  </si>
  <si>
    <t xml:space="preserve">Property search is fundamentally about location. This is what makes 'within 5 km' work.</t>
  </si>
  <si>
    <t xml:space="preserve">DATABASE sheet; Phase 6</t>
  </si>
  <si>
    <t xml:space="preserve">Redis</t>
  </si>
  <si>
    <t xml:space="preserve">A very fast temporary store kept in memory. Used to remember answers so you do not recalculate them.</t>
  </si>
  <si>
    <t xml:space="preserve">Makes filter counts and autocomplete fast, and enforces rate limits.</t>
  </si>
  <si>
    <t xml:space="preserve">Phase 4; PERFORMANCE</t>
  </si>
  <si>
    <t xml:space="preserve">OpenSearch / Elasticsearch</t>
  </si>
  <si>
    <t xml:space="preserve">Specialised software built purely for searching and filtering large amounts of data quickly.</t>
  </si>
  <si>
    <t xml:space="preserve">You will NOT use this at first. It is deliberately deferred until PostgreSQL stops keeping up.</t>
  </si>
  <si>
    <t xml:space="preserve">DECISIONS LOG D-04; POST-LAUNCH v2.0</t>
  </si>
  <si>
    <t xml:space="preserve">CDN (Content Delivery Network)</t>
  </si>
  <si>
    <t xml:space="preserve">A network of servers worldwide that keeps copies of your images and files close to users.</t>
  </si>
  <si>
    <t xml:space="preserve">Images are the heaviest part of a property site. A CDN is the cheapest speed improvement available.</t>
  </si>
  <si>
    <t xml:space="preserve">DEVOPS; PERFORMANCE</t>
  </si>
  <si>
    <t xml:space="preserve">SSR (Server-Side Rendering)</t>
  </si>
  <si>
    <t xml:space="preserve">The server builds the complete page and sends finished HTML to the browser.</t>
  </si>
  <si>
    <t xml:space="preserve">Essential for SEO. Search engines see your listings properly, and pages appear faster.</t>
  </si>
  <si>
    <t xml:space="preserve">Phase 2; SEO CHECKLIST</t>
  </si>
  <si>
    <t xml:space="preserve">SSG (Static Site Generation)</t>
  </si>
  <si>
    <t xml:space="preserve">Pages are built once in advance and served as ready-made files.</t>
  </si>
  <si>
    <t xml:space="preserve">Extremely fast, but only suitable for pages whose content rarely changes.</t>
  </si>
  <si>
    <t xml:space="preserve">Phase 2; WEBSITE PAGES</t>
  </si>
  <si>
    <t xml:space="preserve">ISR (Incremental Static Regeneration)</t>
  </si>
  <si>
    <t xml:space="preserve">Pre-built pages that quietly refresh themselves on a schedule.</t>
  </si>
  <si>
    <t xml:space="preserve">Ideal for locality and landing pages: fast like static, but the content stays current.</t>
  </si>
  <si>
    <t xml:space="preserve">PWA (Progressive Web App)</t>
  </si>
  <si>
    <t xml:space="preserve">A website that can be installed on a phone and behaves much like a real app.</t>
  </si>
  <si>
    <t xml:space="preserve">Gives you most app benefits without building and maintaining two separate mobile apps.</t>
  </si>
  <si>
    <t xml:space="preserve">Phase 22; DECISIONS LOG D-15</t>
  </si>
  <si>
    <t xml:space="preserve">OTP (One-Time Password)</t>
  </si>
  <si>
    <t xml:space="preserve">A short code sent by SMS that proves someone controls a phone number.</t>
  </si>
  <si>
    <t xml:space="preserve">Your main login method, and the gate before a buyer sees a seller's number.</t>
  </si>
  <si>
    <t xml:space="preserve">Phase 5, 10; SECURITY</t>
  </si>
  <si>
    <t xml:space="preserve">JWT (JSON Web Token)</t>
  </si>
  <si>
    <t xml:space="preserve">A signed digital pass that proves who a user is without checking the database every time.</t>
  </si>
  <si>
    <t xml:space="preserve">How your site remembers a user is logged in across requests.</t>
  </si>
  <si>
    <t xml:space="preserve">DECISIONS LOG D-08; Phase 5</t>
  </si>
  <si>
    <t xml:space="preserve">RBAC (Role-Based Access Control)</t>
  </si>
  <si>
    <t xml:space="preserve">Deciding what someone may do based on their role — buyer, seller, admin.</t>
  </si>
  <si>
    <t xml:space="preserve">Stops a buyer editing someone else's listing or reading someone else's leads.</t>
  </si>
  <si>
    <t xml:space="preserve">Phase 5; SECURITY</t>
  </si>
  <si>
    <t xml:space="preserve">CRUD</t>
  </si>
  <si>
    <t xml:space="preserve">Create, Read, Update, Delete — the four basic things you do with data.</t>
  </si>
  <si>
    <t xml:space="preserve">Most of your APIs are CRUD operations on listings, users and leads.</t>
  </si>
  <si>
    <t xml:space="preserve">SEO (Search Engine Optimisation)</t>
  </si>
  <si>
    <t xml:space="preserve">Making your pages findable and attractive in Google results.</t>
  </si>
  <si>
    <t xml:space="preserve">The research found this is the incumbent's main customer-acquisition channel. Your URL design decides whether it can work.</t>
  </si>
  <si>
    <t xml:space="preserve">SEO CHECKLIST; Phase 14</t>
  </si>
  <si>
    <t xml:space="preserve">JSON-LD</t>
  </si>
  <si>
    <t xml:space="preserve">A hidden, machine-readable summary of a page, written for search engines.</t>
  </si>
  <si>
    <t xml:space="preserve">Lets Google understand that a page describes a property with a price and a location.</t>
  </si>
  <si>
    <t xml:space="preserve">An XML file listing every page you want search engines to find.</t>
  </si>
  <si>
    <t xml:space="preserve">How Google discovers thousands of listing pages it would otherwise miss.</t>
  </si>
  <si>
    <t xml:space="preserve">Canonical URL</t>
  </si>
  <si>
    <t xml:space="preserve">A tag saying 'this is the official address for this content'.</t>
  </si>
  <si>
    <t xml:space="preserve">Property sites generate many near-identical filtered pages. Canonicals stop them competing with each other.</t>
  </si>
  <si>
    <t xml:space="preserve">A page with too little useful content to deserve indexing — for example a search page with two results.</t>
  </si>
  <si>
    <t xml:space="preserve">Publishing thousands of near-empty pages can get your whole site downgraded by Google.</t>
  </si>
  <si>
    <t xml:space="preserve">SEO CHECKLIST; DECISIONS LOG D-19</t>
  </si>
  <si>
    <t xml:space="preserve">LCP (Largest Contentful Paint)</t>
  </si>
  <si>
    <t xml:space="preserve">How long until the biggest visible thing appears on screen.</t>
  </si>
  <si>
    <t xml:space="preserve">Google's main 'does this feel fast' measure, and a ranking factor. Target: under 2 seconds.</t>
  </si>
  <si>
    <t xml:space="preserve">PERFORMANCE sheet</t>
  </si>
  <si>
    <t xml:space="preserve">CLS (Cumulative Layout Shift)</t>
  </si>
  <si>
    <t xml:space="preserve">How much the page jumps around while it loads.</t>
  </si>
  <si>
    <t xml:space="preserve">Jumping pages make people tap the wrong thing. Usually caused by images without reserved space.</t>
  </si>
  <si>
    <t xml:space="preserve">INP (Interaction to Next Paint)</t>
  </si>
  <si>
    <t xml:space="preserve">How quickly the page reacts when you tap or click.</t>
  </si>
  <si>
    <t xml:space="preserve">Directly measures whether filters feel responsive — the incumbent's weakest area.</t>
  </si>
  <si>
    <t xml:space="preserve">TTFB (Time To First Byte)</t>
  </si>
  <si>
    <t xml:space="preserve">How long the server takes to begin responding.</t>
  </si>
  <si>
    <t xml:space="preserve">Slow TTFB makes everything after it slow, no matter how well the frontend is built.</t>
  </si>
  <si>
    <t xml:space="preserve">Automation that checks your code and deploys it. CI = continuous integration (testing), CD = continuous deployment (releasing).</t>
  </si>
  <si>
    <t xml:space="preserve">Stops broken code reaching users and removes error-prone manual deploys.</t>
  </si>
  <si>
    <t xml:space="preserve">DEVOPS; Phase 1, 19</t>
  </si>
  <si>
    <t xml:space="preserve">Docker</t>
  </si>
  <si>
    <t xml:space="preserve">A way to package software with everything it needs so it runs identically everywhere.</t>
  </si>
  <si>
    <t xml:space="preserve">Means the app behaves the same on your laptop and on the server.</t>
  </si>
  <si>
    <t xml:space="preserve">Phase 1; DEVOPS</t>
  </si>
  <si>
    <t xml:space="preserve">Queue</t>
  </si>
  <si>
    <t xml:space="preserve">A waiting line of background jobs to be done later, outside the user's request.</t>
  </si>
  <si>
    <t xml:space="preserve">Image processing and notifications must not make the user wait.</t>
  </si>
  <si>
    <t xml:space="preserve">Phase 4; DATABASE (OUTBOX)</t>
  </si>
  <si>
    <t xml:space="preserve">Worker</t>
  </si>
  <si>
    <t xml:space="preserve">A background program that takes jobs off the queue and does them.</t>
  </si>
  <si>
    <t xml:space="preserve">Processes photos, runs moderation checks and sends alerts.</t>
  </si>
  <si>
    <t xml:space="preserve">Phase 4; DEVOPS</t>
  </si>
  <si>
    <t xml:space="preserve">Cache</t>
  </si>
  <si>
    <t xml:space="preserve">A temporary saved copy of an answer, so you do not recompute it every time.</t>
  </si>
  <si>
    <t xml:space="preserve">Filter counts are expensive to calculate and change slowly — ideal to cache.</t>
  </si>
  <si>
    <t xml:space="preserve">PERFORMANCE; Phase 16</t>
  </si>
  <si>
    <t xml:space="preserve">Microservice</t>
  </si>
  <si>
    <t xml:space="preserve">An architecture where the system is split into many small, independently deployed programs.</t>
  </si>
  <si>
    <t xml:space="preserve">Deliberately NOT recommended for you. It solves a large-team problem and adds heavy complexity.</t>
  </si>
  <si>
    <t xml:space="preserve">DECISIONS LOG D-02</t>
  </si>
  <si>
    <t xml:space="preserve">Modular monolith</t>
  </si>
  <si>
    <t xml:space="preserve">One deployable application, internally divided into clear modules with strict boundaries.</t>
  </si>
  <si>
    <t xml:space="preserve">The recommended approach: simple to run now, cheap to split into services later if ever needed.</t>
  </si>
  <si>
    <t xml:space="preserve">Phase 2; DECISIONS LOG D-02</t>
  </si>
  <si>
    <t xml:space="preserve">Webhook</t>
  </si>
  <si>
    <t xml:space="preserve">A way for another service to notify your server when something happens, by calling your URL.</t>
  </si>
  <si>
    <t xml:space="preserve">Your payment provider will use one to tell you a payment succeeded.</t>
  </si>
  <si>
    <t xml:space="preserve">API CHECKLIST (API-49)</t>
  </si>
  <si>
    <t xml:space="preserve">A service for storing files such as photos, separate from your database.</t>
  </si>
  <si>
    <t xml:space="preserve">Databases are the wrong place for images. Object storage is cheap, durable and fast to serve.</t>
  </si>
  <si>
    <t xml:space="preserve">Phase 4; THIRD-PARTY SERVICES</t>
  </si>
  <si>
    <t xml:space="preserve">Presigned URL</t>
  </si>
  <si>
    <t xml:space="preserve">A temporary, permission-limited link that lets a browser upload a file directly to storage.</t>
  </si>
  <si>
    <t xml:space="preserve">Keeps large photo uploads off your server entirely.</t>
  </si>
  <si>
    <t xml:space="preserve">API-24; Phase 4</t>
  </si>
  <si>
    <t xml:space="preserve">Migration</t>
  </si>
  <si>
    <t xml:space="preserve">A versioned, repeatable script that changes the database structure.</t>
  </si>
  <si>
    <t xml:space="preserve">Lets you change the database safely and undo it if something breaks.</t>
  </si>
  <si>
    <t xml:space="preserve">Index (database)</t>
  </si>
  <si>
    <t xml:space="preserve">A lookup structure that makes searching a table dramatically faster.</t>
  </si>
  <si>
    <t xml:space="preserve">Without the right indexes, search becomes unusably slow as listings grow.</t>
  </si>
  <si>
    <t xml:space="preserve">DATABASE sheet</t>
  </si>
  <si>
    <t xml:space="preserve">Facet</t>
  </si>
  <si>
    <t xml:space="preserve">A filter category with a count next to each option, like 'Ready to move (412)'.</t>
  </si>
  <si>
    <t xml:space="preserve">The counts must be correct or the filters feel broken. Harder to build than it looks.</t>
  </si>
  <si>
    <t xml:space="preserve">Phase 8; API-12</t>
  </si>
  <si>
    <t xml:space="preserve">A structured list of places — cities, localities, societies — with their relationships and coordinates.</t>
  </si>
  <si>
    <t xml:space="preserve">The research calls this the most important table in the system. Everything depends on it.</t>
  </si>
  <si>
    <t xml:space="preserve">Phase 6; DATABASE (LOCATION)</t>
  </si>
  <si>
    <t xml:space="preserve">Slug</t>
  </si>
  <si>
    <t xml:space="preserve">The human-readable part of a URL, such as 'flats-in-new-town'.</t>
  </si>
  <si>
    <t xml:space="preserve">Carries the words users search for, which is why it matters for SEO.</t>
  </si>
  <si>
    <t xml:space="preserve">Carpet / built-up / super area</t>
  </si>
  <si>
    <t xml:space="preserve">Three different legal ways of measuring an Indian property's size.</t>
  </si>
  <si>
    <t xml:space="preserve">Mixing them up produces wrong prices per square foot and destroys user trust. Store all three separately.</t>
  </si>
  <si>
    <t xml:space="preserve">DATABASE (PROPERTY); Phase 4</t>
  </si>
  <si>
    <t xml:space="preserve">Lead</t>
  </si>
  <si>
    <t xml:space="preserve">A potential customer's contact details, delivered to a seller.</t>
  </si>
  <si>
    <t xml:space="preserve">This IS your business. The monetisable event is a buyer revealing a seller's number.</t>
  </si>
  <si>
    <t xml:space="preserve">Phase 10; MONETIZATION</t>
  </si>
  <si>
    <t xml:space="preserve">Contact reveal</t>
  </si>
  <si>
    <t xml:space="preserve">The moment a verified buyer is shown a seller's phone number.</t>
  </si>
  <si>
    <t xml:space="preserve">The single most important event in the product. Record it before displaying the number.</t>
  </si>
  <si>
    <t xml:space="preserve">Phase 10; API-32</t>
  </si>
  <si>
    <t xml:space="preserve">Capping how often someone can call an endpoint.</t>
  </si>
  <si>
    <t xml:space="preserve">Stops people harvesting seller phone numbers or running up your SMS bill.</t>
  </si>
  <si>
    <t xml:space="preserve">SECURITY; Phase 17</t>
  </si>
  <si>
    <t xml:space="preserve">EXIF</t>
  </si>
  <si>
    <t xml:space="preserve">Hidden data inside a photo, which can include the exact GPS location where it was taken.</t>
  </si>
  <si>
    <t xml:space="preserve">Must be stripped from uploads, or you publish sellers' home coordinates.</t>
  </si>
  <si>
    <t xml:space="preserve">Phase 7; SECURITY</t>
  </si>
  <si>
    <t xml:space="preserve">Perceptual hash (phash)</t>
  </si>
  <si>
    <t xml:space="preserve">A fingerprint of an image that stays similar even if the image is resized or slightly edited.</t>
  </si>
  <si>
    <t xml:space="preserve">How you detect the same property photographed and re-listed multiple times.</t>
  </si>
  <si>
    <t xml:space="preserve">Phase 7; DATABASE</t>
  </si>
  <si>
    <t xml:space="preserve">An unchangeable record of who did what and when.</t>
  </si>
  <si>
    <t xml:space="preserve">Needed to resolve disputes and to know what an admin or attacker actually did.</t>
  </si>
  <si>
    <t xml:space="preserve">Phase 12; SECURITY</t>
  </si>
  <si>
    <t xml:space="preserve">WCAG AA</t>
  </si>
  <si>
    <t xml:space="preserve">The common international standard for making websites usable by people with disabilities.</t>
  </si>
  <si>
    <t xml:space="preserve">A legal expectation in many markets, and it genuinely improves usability for everyone.</t>
  </si>
  <si>
    <t xml:space="preserve">UI/UX CHECKLIST; Phase 3</t>
  </si>
  <si>
    <t xml:space="preserve">RERA</t>
  </si>
  <si>
    <t xml:space="preserve">India's Real Estate Regulatory Authority. Projects must be registered and display a registration number.</t>
  </si>
  <si>
    <t xml:space="preserve">Displaying RERA information is both a trust signal and an advertising compliance matter.</t>
  </si>
  <si>
    <t xml:space="preserve">Phase 13; SECURITY</t>
  </si>
  <si>
    <t xml:space="preserve">DPDP Act</t>
  </si>
  <si>
    <t xml:space="preserve">India's Digital Personal Data Protection law, covering consent, retention and deletion of personal data.</t>
  </si>
  <si>
    <t xml:space="preserve">You store phone numbers and leads. Compliance is a legal requirement, not optional.</t>
  </si>
  <si>
    <t xml:space="preserve">Phase 0, 5, 17</t>
  </si>
  <si>
    <t xml:space="preserve">MVP (Minimum Viable Product)</t>
  </si>
  <si>
    <t xml:space="preserve">The smallest version that is genuinely useful to real users.</t>
  </si>
  <si>
    <t xml:space="preserve">Everything in this workbook is organised around protecting the MVP boundary from scope creep.</t>
  </si>
  <si>
    <t xml:space="preserve">Technical debt</t>
  </si>
  <si>
    <t xml:space="preserve">Shortcuts taken now that cost more to fix later.</t>
  </si>
  <si>
    <t xml:space="preserve">Performance and URL structure are the two kinds of debt this project must not take on.</t>
  </si>
  <si>
    <t xml:space="preserve">Phase 14, 16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</si>
</sst>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74706"/>
      <name val="Arial"/>
      <family val="0"/>
      <charset val="1"/>
    </font>
    <font>
      <b val="true"/>
      <sz val="10"/>
      <color rgb="FF5B2D82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E2F0D9"/>
        <bgColor rgb="FFEDEDED"/>
      </patternFill>
    </fill>
    <fill>
      <patternFill patternType="solid">
        <fgColor rgb="FFE4EAF7"/>
        <bgColor rgb="FFEAF0F8"/>
      </patternFill>
    </fill>
    <fill>
      <patternFill patternType="solid">
        <fgColor rgb="FFFFE7CC"/>
        <bgColor rgb="FFFCE4E4"/>
      </patternFill>
    </fill>
    <fill>
      <patternFill patternType="solid">
        <fgColor rgb="FFF0E4F7"/>
        <bgColor rgb="FFEDEDED"/>
      </patternFill>
    </fill>
    <fill>
      <patternFill patternType="solid">
        <fgColor rgb="FFEAF0F8"/>
        <bgColor rgb="FFEDEDED"/>
      </patternFill>
    </fill>
    <fill>
      <patternFill patternType="solid">
        <fgColor rgb="FFF2F5FA"/>
        <bgColor rgb="FFEA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A"/>
      </left>
      <right style="thin">
        <color rgb="FFBFC9DA"/>
      </right>
      <top style="thin">
        <color rgb="FFBFC9DA"/>
      </top>
      <bottom style="thin">
        <color rgb="FFBFC9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AF7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F0E4F7"/>
          <bgColor rgb="FF000000"/>
        </patternFill>
      </fill>
    </dxf>
    <dxf>
      <fill>
        <patternFill patternType="solid">
          <fgColor rgb="FFFFE7CC"/>
          <bgColor rgb="FF000000"/>
        </patternFill>
      </fill>
    </dxf>
    <dxf>
      <fill>
        <patternFill patternType="solid">
          <fgColor rgb="FF5B2D82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ont>
        <name val="Arial"/>
        <charset val="1"/>
        <family val="0"/>
        <b val="1"/>
        <color rgb="FF6B6B6B"/>
        <sz val="10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1F3864"/>
        <sz val="10"/>
      </font>
      <fill>
        <patternFill>
          <bgColor rgb="FFE4EAF7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F0D9"/>
        </patternFill>
      </fill>
    </dxf>
    <dxf>
      <font>
        <name val="Arial"/>
        <charset val="1"/>
        <family val="0"/>
        <b val="1"/>
        <color rgb="FF808080"/>
        <sz val="1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666666"/>
        <sz val="1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74706"/>
        <sz val="10"/>
      </font>
      <fill>
        <patternFill>
          <bgColor rgb="FFFFE7CC"/>
        </patternFill>
      </fill>
    </dxf>
    <dxf>
      <font>
        <name val="Arial"/>
        <charset val="1"/>
        <family val="0"/>
        <b val="1"/>
        <color rgb="FF5B2D82"/>
        <sz val="10"/>
      </font>
      <fill>
        <patternFill>
          <bgColor rgb="FFF0E4F7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C9DA"/>
      <rgbColor rgb="FF808080"/>
      <rgbColor rgb="FF9999FF"/>
      <rgbColor rgb="FF7030A0"/>
      <rgbColor rgb="FFFFF2CC"/>
      <rgbColor rgb="FFEAF0F8"/>
      <rgbColor rgb="FF660066"/>
      <rgbColor rgb="FFFF8080"/>
      <rgbColor rgb="FF0066CC"/>
      <rgbColor rgb="FFF0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7"/>
      <rgbColor rgb="FFE2F0D9"/>
      <rgbColor rgb="FFFFE7CC"/>
      <rgbColor rgb="FFEDEDED"/>
      <rgbColor rgb="FFF2F5FA"/>
      <rgbColor rgb="FFCC99FF"/>
      <rgbColor rgb="FFFCE4E4"/>
      <rgbColor rgb="FF2E75B6"/>
      <rgbColor rgb="FF33CCCC"/>
      <rgbColor rgb="FF99CC00"/>
      <rgbColor rgb="FFFFCC00"/>
      <rgbColor rgb="FFBF8F00"/>
      <rgbColor rgb="FFC55A11"/>
      <rgbColor rgb="FF6B6B6B"/>
      <rgbColor rgb="FF7F7F7F"/>
      <rgbColor rgb="FF1F3864"/>
      <rgbColor rgb="FF548235"/>
      <rgbColor rgb="FF003300"/>
      <rgbColor rgb="FF44546A"/>
      <rgbColor rgb="FF974706"/>
      <rgbColor rgb="FF666666"/>
      <rgbColor rgb="FF5B2D82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7.5" hidden="false" customHeight="true" outlineLevel="0" collapsed="false"/>
    <row r="5" customFormat="false" ht="24" hidden="false" customHeight="true" outlineLevel="0" collapsed="false">
      <c r="A5" s="3" t="s">
        <v>2</v>
      </c>
      <c r="B5" s="3"/>
    </row>
    <row r="6" customFormat="false" ht="30" hidden="false" customHeight="true" outlineLevel="0" collapsed="false">
      <c r="A6" s="4" t="s">
        <v>3</v>
      </c>
      <c r="B6" s="5" t="s">
        <v>4</v>
      </c>
    </row>
    <row r="7" customFormat="false" ht="30" hidden="false" customHeight="true" outlineLevel="0" collapsed="false">
      <c r="A7" s="4" t="s">
        <v>5</v>
      </c>
      <c r="B7" s="5" t="s">
        <v>6</v>
      </c>
    </row>
    <row r="8" customFormat="false" ht="30" hidden="false" customHeight="true" outlineLevel="0" collapsed="false">
      <c r="A8" s="4" t="s">
        <v>7</v>
      </c>
      <c r="B8" s="5" t="s">
        <v>8</v>
      </c>
    </row>
    <row r="9" customFormat="false" ht="30" hidden="false" customHeight="true" outlineLevel="0" collapsed="false">
      <c r="A9" s="4" t="s">
        <v>9</v>
      </c>
      <c r="B9" s="5" t="s">
        <v>10</v>
      </c>
    </row>
    <row r="10" customFormat="false" ht="30" hidden="false" customHeight="true" outlineLevel="0" collapsed="false">
      <c r="A10" s="4" t="s">
        <v>11</v>
      </c>
      <c r="B10" s="5" t="s">
        <v>12</v>
      </c>
    </row>
    <row r="11" customFormat="false" ht="7.5" hidden="false" customHeight="true" outlineLevel="0" collapsed="false"/>
    <row r="12" customFormat="false" ht="24" hidden="false" customHeight="true" outlineLevel="0" collapsed="false">
      <c r="A12" s="3" t="s">
        <v>13</v>
      </c>
      <c r="B12" s="3"/>
    </row>
    <row r="13" customFormat="false" ht="30" hidden="false" customHeight="true" outlineLevel="0" collapsed="false">
      <c r="A13" s="6" t="s">
        <v>14</v>
      </c>
      <c r="B13" s="5" t="s">
        <v>15</v>
      </c>
    </row>
    <row r="14" customFormat="false" ht="30" hidden="false" customHeight="true" outlineLevel="0" collapsed="false">
      <c r="A14" s="7" t="s">
        <v>16</v>
      </c>
      <c r="B14" s="5" t="s">
        <v>17</v>
      </c>
    </row>
    <row r="15" customFormat="false" ht="30" hidden="false" customHeight="true" outlineLevel="0" collapsed="false">
      <c r="A15" s="8" t="s">
        <v>18</v>
      </c>
      <c r="B15" s="5" t="s">
        <v>19</v>
      </c>
    </row>
    <row r="16" customFormat="false" ht="30" hidden="false" customHeight="true" outlineLevel="0" collapsed="false">
      <c r="A16" s="9" t="s">
        <v>20</v>
      </c>
      <c r="B16" s="5" t="s">
        <v>21</v>
      </c>
    </row>
    <row r="17" customFormat="false" ht="7.5" hidden="false" customHeight="true" outlineLevel="0" collapsed="false"/>
    <row r="18" customFormat="false" ht="24" hidden="false" customHeight="true" outlineLevel="0" collapsed="false">
      <c r="A18" s="3" t="s">
        <v>22</v>
      </c>
      <c r="B18" s="3"/>
    </row>
    <row r="19" customFormat="false" ht="30" hidden="false" customHeight="true" outlineLevel="0" collapsed="false">
      <c r="A19" s="4" t="s">
        <v>23</v>
      </c>
      <c r="B19" s="5" t="s">
        <v>24</v>
      </c>
    </row>
    <row r="20" customFormat="false" ht="30" hidden="false" customHeight="true" outlineLevel="0" collapsed="false">
      <c r="A20" s="4" t="s">
        <v>25</v>
      </c>
      <c r="B20" s="5" t="s">
        <v>26</v>
      </c>
    </row>
    <row r="21" customFormat="false" ht="30" hidden="false" customHeight="true" outlineLevel="0" collapsed="false">
      <c r="A21" s="4" t="s">
        <v>27</v>
      </c>
      <c r="B21" s="5" t="s">
        <v>28</v>
      </c>
    </row>
    <row r="22" customFormat="false" ht="30" hidden="false" customHeight="true" outlineLevel="0" collapsed="false">
      <c r="A22" s="4" t="s">
        <v>29</v>
      </c>
      <c r="B22" s="5" t="s">
        <v>30</v>
      </c>
    </row>
    <row r="23" customFormat="false" ht="30" hidden="false" customHeight="true" outlineLevel="0" collapsed="false">
      <c r="A23" s="4" t="s">
        <v>31</v>
      </c>
      <c r="B23" s="5" t="s">
        <v>32</v>
      </c>
    </row>
    <row r="24" customFormat="false" ht="30" hidden="false" customHeight="true" outlineLevel="0" collapsed="false">
      <c r="A24" s="4" t="s">
        <v>33</v>
      </c>
      <c r="B24" s="5" t="s">
        <v>34</v>
      </c>
    </row>
    <row r="25" customFormat="false" ht="30" hidden="false" customHeight="true" outlineLevel="0" collapsed="false">
      <c r="A25" s="4" t="s">
        <v>35</v>
      </c>
      <c r="B25" s="5" t="s">
        <v>36</v>
      </c>
    </row>
    <row r="26" customFormat="false" ht="7.5" hidden="false" customHeight="true" outlineLevel="0" collapsed="false"/>
    <row r="27" customFormat="false" ht="24" hidden="false" customHeight="true" outlineLevel="0" collapsed="false">
      <c r="A27" s="3" t="s">
        <v>37</v>
      </c>
      <c r="B27" s="3"/>
    </row>
    <row r="28" customFormat="false" ht="30" hidden="false" customHeight="true" outlineLevel="0" collapsed="false">
      <c r="A28" s="4" t="s">
        <v>38</v>
      </c>
      <c r="B28" s="5" t="s">
        <v>39</v>
      </c>
    </row>
    <row r="29" customFormat="false" ht="30" hidden="false" customHeight="true" outlineLevel="0" collapsed="false">
      <c r="A29" s="4" t="s">
        <v>40</v>
      </c>
      <c r="B29" s="5" t="s">
        <v>41</v>
      </c>
    </row>
    <row r="30" customFormat="false" ht="30" hidden="false" customHeight="true" outlineLevel="0" collapsed="false">
      <c r="A30" s="4" t="s">
        <v>42</v>
      </c>
      <c r="B30" s="5" t="s">
        <v>43</v>
      </c>
    </row>
    <row r="31" customFormat="false" ht="30" hidden="false" customHeight="true" outlineLevel="0" collapsed="false">
      <c r="A31" s="4" t="s">
        <v>44</v>
      </c>
      <c r="B31" s="5" t="s">
        <v>45</v>
      </c>
    </row>
    <row r="32" customFormat="false" ht="30" hidden="false" customHeight="true" outlineLevel="0" collapsed="false">
      <c r="A32" s="4" t="s">
        <v>46</v>
      </c>
      <c r="B32" s="5" t="s">
        <v>47</v>
      </c>
    </row>
    <row r="33" customFormat="false" ht="30" hidden="false" customHeight="true" outlineLevel="0" collapsed="false">
      <c r="A33" s="4" t="s">
        <v>48</v>
      </c>
      <c r="B33" s="5" t="s">
        <v>49</v>
      </c>
    </row>
    <row r="34" customFormat="false" ht="30" hidden="false" customHeight="true" outlineLevel="0" collapsed="false">
      <c r="A34" s="4" t="s">
        <v>50</v>
      </c>
      <c r="B34" s="5" t="s">
        <v>51</v>
      </c>
    </row>
    <row r="35" customFormat="false" ht="30" hidden="false" customHeight="true" outlineLevel="0" collapsed="false">
      <c r="A35" s="4" t="s">
        <v>52</v>
      </c>
      <c r="B35" s="5" t="s">
        <v>53</v>
      </c>
    </row>
    <row r="36" customFormat="false" ht="30" hidden="false" customHeight="true" outlineLevel="0" collapsed="false">
      <c r="A36" s="4" t="s">
        <v>54</v>
      </c>
      <c r="B36" s="5" t="s">
        <v>55</v>
      </c>
    </row>
    <row r="37" customFormat="false" ht="30" hidden="false" customHeight="true" outlineLevel="0" collapsed="false">
      <c r="A37" s="4" t="s">
        <v>56</v>
      </c>
      <c r="B37" s="5" t="s">
        <v>57</v>
      </c>
    </row>
    <row r="38" customFormat="false" ht="30" hidden="false" customHeight="true" outlineLevel="0" collapsed="false">
      <c r="A38" s="4" t="s">
        <v>58</v>
      </c>
      <c r="B38" s="5" t="s">
        <v>59</v>
      </c>
    </row>
    <row r="39" customFormat="false" ht="30" hidden="false" customHeight="true" outlineLevel="0" collapsed="false">
      <c r="A39" s="4" t="s">
        <v>60</v>
      </c>
      <c r="B39" s="5" t="s">
        <v>61</v>
      </c>
    </row>
    <row r="40" customFormat="false" ht="30" hidden="false" customHeight="true" outlineLevel="0" collapsed="false">
      <c r="A40" s="4" t="s">
        <v>62</v>
      </c>
      <c r="B40" s="5" t="s">
        <v>63</v>
      </c>
    </row>
    <row r="41" customFormat="false" ht="30" hidden="false" customHeight="true" outlineLevel="0" collapsed="false">
      <c r="A41" s="4" t="s">
        <v>64</v>
      </c>
      <c r="B41" s="5" t="s">
        <v>65</v>
      </c>
    </row>
    <row r="42" customFormat="false" ht="30" hidden="false" customHeight="true" outlineLevel="0" collapsed="false">
      <c r="A42" s="4" t="s">
        <v>66</v>
      </c>
      <c r="B42" s="5" t="s">
        <v>67</v>
      </c>
    </row>
    <row r="43" customFormat="false" ht="30" hidden="false" customHeight="true" outlineLevel="0" collapsed="false">
      <c r="A43" s="4" t="s">
        <v>68</v>
      </c>
      <c r="B43" s="5" t="s">
        <v>69</v>
      </c>
    </row>
    <row r="44" customFormat="false" ht="30" hidden="false" customHeight="true" outlineLevel="0" collapsed="false">
      <c r="A44" s="4" t="s">
        <v>70</v>
      </c>
      <c r="B44" s="5" t="s">
        <v>71</v>
      </c>
    </row>
    <row r="45" customFormat="false" ht="30" hidden="false" customHeight="true" outlineLevel="0" collapsed="false">
      <c r="A45" s="4" t="s">
        <v>72</v>
      </c>
      <c r="B45" s="5" t="s">
        <v>73</v>
      </c>
    </row>
    <row r="46" customFormat="false" ht="30" hidden="false" customHeight="true" outlineLevel="0" collapsed="false">
      <c r="A46" s="4" t="s">
        <v>74</v>
      </c>
      <c r="B46" s="5" t="s">
        <v>75</v>
      </c>
    </row>
    <row r="47" customFormat="false" ht="30" hidden="false" customHeight="true" outlineLevel="0" collapsed="false">
      <c r="A47" s="4" t="s">
        <v>76</v>
      </c>
      <c r="B47" s="5" t="s">
        <v>77</v>
      </c>
    </row>
    <row r="48" customFormat="false" ht="7.5" hidden="false" customHeight="true" outlineLevel="0" collapsed="false"/>
    <row r="49" customFormat="false" ht="24" hidden="false" customHeight="true" outlineLevel="0" collapsed="false">
      <c r="A49" s="3" t="s">
        <v>78</v>
      </c>
      <c r="B49" s="3"/>
    </row>
    <row r="50" customFormat="false" ht="30" hidden="false" customHeight="true" outlineLevel="0" collapsed="false">
      <c r="A50" s="4" t="s">
        <v>79</v>
      </c>
      <c r="B50" s="5" t="s">
        <v>80</v>
      </c>
    </row>
    <row r="51" customFormat="false" ht="30" hidden="false" customHeight="true" outlineLevel="0" collapsed="false">
      <c r="A51" s="4" t="s">
        <v>81</v>
      </c>
      <c r="B51" s="5" t="s">
        <v>82</v>
      </c>
    </row>
    <row r="52" customFormat="false" ht="30" hidden="false" customHeight="true" outlineLevel="0" collapsed="false">
      <c r="A52" s="4" t="s">
        <v>83</v>
      </c>
      <c r="B52" s="5" t="s">
        <v>84</v>
      </c>
    </row>
    <row r="53" customFormat="false" ht="30" hidden="false" customHeight="true" outlineLevel="0" collapsed="false">
      <c r="A53" s="4" t="s">
        <v>85</v>
      </c>
      <c r="B53" s="5" t="s">
        <v>86</v>
      </c>
    </row>
    <row r="54" customFormat="false" ht="30" hidden="false" customHeight="true" outlineLevel="0" collapsed="false">
      <c r="A54" s="4" t="s">
        <v>87</v>
      </c>
      <c r="B54" s="5" t="s">
        <v>88</v>
      </c>
    </row>
    <row r="55" customFormat="false" ht="7.5" hidden="false" customHeight="true" outlineLevel="0" collapsed="false"/>
    <row r="56" customFormat="false" ht="24" hidden="false" customHeight="true" outlineLevel="0" collapsed="false">
      <c r="A56" s="3" t="s">
        <v>89</v>
      </c>
      <c r="B56" s="3"/>
    </row>
    <row r="57" customFormat="false" ht="30" hidden="false" customHeight="true" outlineLevel="0" collapsed="false">
      <c r="A57" s="4" t="s">
        <v>90</v>
      </c>
      <c r="B57" s="5" t="s">
        <v>91</v>
      </c>
    </row>
    <row r="58" customFormat="false" ht="30" hidden="false" customHeight="true" outlineLevel="0" collapsed="false">
      <c r="A58" s="4" t="s">
        <v>92</v>
      </c>
      <c r="B58" s="5" t="s">
        <v>93</v>
      </c>
    </row>
    <row r="59" customFormat="false" ht="30" hidden="false" customHeight="true" outlineLevel="0" collapsed="false">
      <c r="A59" s="4" t="s">
        <v>94</v>
      </c>
      <c r="B59" s="5" t="s">
        <v>95</v>
      </c>
    </row>
    <row r="60" customFormat="false" ht="30" hidden="false" customHeight="true" outlineLevel="0" collapsed="false">
      <c r="A60" s="4" t="s">
        <v>96</v>
      </c>
      <c r="B60" s="5" t="s">
        <v>97</v>
      </c>
    </row>
  </sheetData>
  <mergeCells count="6">
    <mergeCell ref="A5:B5"/>
    <mergeCell ref="A12:B12"/>
    <mergeCell ref="A18:B18"/>
    <mergeCell ref="A27:B27"/>
    <mergeCell ref="A49:B49"/>
    <mergeCell ref="A56:B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2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7"/>
    <col collapsed="false" customWidth="true" hidden="false" outlineLevel="0" max="5" min="4" style="0" width="26"/>
    <col collapsed="false" customWidth="true" hidden="false" outlineLevel="0" max="6" min="6" style="0" width="50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8"/>
    <col collapsed="false" customWidth="true" hidden="false" outlineLevel="0" max="14" min="14" style="0" width="44"/>
    <col collapsed="false" customWidth="true" hidden="false" outlineLevel="0" max="15" min="15" style="0" width="46"/>
    <col collapsed="false" customWidth="true" hidden="false" outlineLevel="0" max="16" min="16" style="0" width="20"/>
  </cols>
  <sheetData>
    <row r="1" customFormat="false" ht="19.7" hidden="false" customHeight="false" outlineLevel="0" collapsed="false">
      <c r="A1" s="10" t="s">
        <v>98</v>
      </c>
    </row>
    <row r="2" customFormat="false" ht="25.5" hidden="false" customHeight="true" outlineLevel="0" collapsed="false">
      <c r="A2" s="11" t="s">
        <v>99</v>
      </c>
      <c r="B2" s="11"/>
      <c r="C2" s="11"/>
      <c r="D2" s="11"/>
      <c r="E2" s="11"/>
      <c r="F2" s="11"/>
      <c r="G2" s="11"/>
      <c r="H2" s="11"/>
    </row>
    <row r="3" customFormat="false" ht="21.75" hidden="false" customHeight="true" outlineLevel="0" collapsed="false">
      <c r="A3" s="12" t="s">
        <v>100</v>
      </c>
      <c r="B3" s="12"/>
      <c r="C3" s="12"/>
      <c r="D3" s="12"/>
      <c r="E3" s="12"/>
      <c r="F3" s="12"/>
      <c r="G3" s="12"/>
      <c r="H3" s="12"/>
    </row>
    <row r="4" customFormat="false" ht="18.75" hidden="false" customHeight="true" outlineLevel="0" collapsed="false">
      <c r="A4" s="13" t="s">
        <v>101</v>
      </c>
      <c r="B4" s="14" t="n">
        <f aca="false">COUNTA($C$10:$C$222)</f>
        <v>213</v>
      </c>
      <c r="D4" s="13" t="s">
        <v>102</v>
      </c>
      <c r="E4" s="14" t="n">
        <f aca="false">COUNTIF($J$10:$J$222,"DONE")</f>
        <v>2</v>
      </c>
      <c r="G4" s="13" t="s">
        <v>103</v>
      </c>
      <c r="H4" s="14" t="n">
        <f aca="false">COUNTIF($J$10:$J$222,"NOT STARTED")</f>
        <v>211</v>
      </c>
    </row>
    <row r="5" customFormat="false" ht="18.75" hidden="false" customHeight="true" outlineLevel="0" collapsed="false">
      <c r="A5" s="13" t="s">
        <v>104</v>
      </c>
      <c r="B5" s="14" t="n">
        <f aca="false">COUNTIF($J$10:$J$222,"IN PROGRESS")</f>
        <v>0</v>
      </c>
      <c r="D5" s="13" t="s">
        <v>105</v>
      </c>
      <c r="E5" s="14" t="n">
        <f aca="false">COUNTIF($J$10:$J$222,"BLOCKED")</f>
        <v>0</v>
      </c>
      <c r="G5" s="13" t="s">
        <v>106</v>
      </c>
      <c r="H5" s="14" t="n">
        <f aca="false">COUNTIF($J$10:$J$222,"REVIEW")</f>
        <v>0</v>
      </c>
    </row>
    <row r="6" customFormat="false" ht="18.75" hidden="false" customHeight="true" outlineLevel="0" collapsed="false">
      <c r="A6" s="13" t="s">
        <v>107</v>
      </c>
      <c r="B6" s="14" t="n">
        <f aca="false">COUNTIF($J$10:$J$222,"DEFERRED")</f>
        <v>0</v>
      </c>
      <c r="D6" s="13" t="s">
        <v>108</v>
      </c>
      <c r="E6" s="14" t="n">
        <f aca="false">COUNTIFS($B$10:$B$222,"&lt;=20")</f>
        <v>196</v>
      </c>
      <c r="G6" s="13" t="s">
        <v>109</v>
      </c>
      <c r="H6" s="14" t="n">
        <f aca="false">COUNTIFS($B$10:$B$222,"&gt;20")</f>
        <v>17</v>
      </c>
    </row>
    <row r="7" customFormat="false" ht="18.75" hidden="false" customHeight="true" outlineLevel="0" collapsed="false">
      <c r="A7" s="13" t="s">
        <v>110</v>
      </c>
      <c r="B7" s="14" t="n">
        <f aca="false">COUNTIF($I$10:$I$222,"CRITICAL")</f>
        <v>122</v>
      </c>
      <c r="D7" s="13" t="s">
        <v>111</v>
      </c>
      <c r="E7" s="14" t="n">
        <f aca="false">COUNTIF($P$10:$P$222,"DECISION REQUIRED")</f>
        <v>15</v>
      </c>
      <c r="G7" s="13" t="s">
        <v>112</v>
      </c>
      <c r="H7" s="15" t="n">
        <f aca="false">IFERROR(COUNTIF($J$10:$J$222,"DONE")/COUNTA($C$10:$C$222),0)</f>
        <v>0.00938967136150235</v>
      </c>
    </row>
    <row r="8" customFormat="false" ht="7.5" hidden="false" customHeight="true" outlineLevel="0" collapsed="false"/>
    <row r="9" customFormat="false" ht="37.5" hidden="false" customHeight="true" outlineLevel="0" collapsed="false">
      <c r="A9" s="16" t="s">
        <v>113</v>
      </c>
      <c r="B9" s="16" t="s">
        <v>114</v>
      </c>
      <c r="C9" s="16" t="s">
        <v>115</v>
      </c>
      <c r="D9" s="16" t="s">
        <v>116</v>
      </c>
      <c r="E9" s="16" t="s">
        <v>117</v>
      </c>
      <c r="F9" s="16" t="s">
        <v>118</v>
      </c>
      <c r="G9" s="16" t="s">
        <v>119</v>
      </c>
      <c r="H9" s="16" t="s">
        <v>120</v>
      </c>
      <c r="I9" s="16" t="s">
        <v>121</v>
      </c>
      <c r="J9" s="16" t="s">
        <v>122</v>
      </c>
      <c r="K9" s="16" t="s">
        <v>123</v>
      </c>
      <c r="L9" s="16" t="s">
        <v>124</v>
      </c>
      <c r="M9" s="16" t="s">
        <v>125</v>
      </c>
      <c r="N9" s="16" t="s">
        <v>126</v>
      </c>
      <c r="O9" s="16" t="s">
        <v>127</v>
      </c>
      <c r="P9" s="16" t="s">
        <v>128</v>
      </c>
    </row>
    <row r="10" customFormat="false" ht="23.85" hidden="false" customHeight="false" outlineLevel="0" collapsed="false">
      <c r="A10" s="17" t="s">
        <v>129</v>
      </c>
      <c r="B10" s="17" t="n">
        <v>0</v>
      </c>
      <c r="C10" s="17" t="s">
        <v>130</v>
      </c>
      <c r="D10" s="17" t="s">
        <v>131</v>
      </c>
      <c r="E10" s="17" t="s">
        <v>132</v>
      </c>
      <c r="F10" s="17" t="s">
        <v>133</v>
      </c>
      <c r="G10" s="17" t="s">
        <v>134</v>
      </c>
      <c r="H10" s="17" t="s">
        <v>135</v>
      </c>
      <c r="I10" s="17" t="s">
        <v>136</v>
      </c>
      <c r="J10" s="17" t="s">
        <v>102</v>
      </c>
      <c r="K10" s="17" t="s">
        <v>137</v>
      </c>
      <c r="L10" s="17" t="s">
        <v>138</v>
      </c>
      <c r="M10" s="17" t="s">
        <v>139</v>
      </c>
      <c r="N10" s="17" t="s">
        <v>140</v>
      </c>
      <c r="O10" s="17" t="s">
        <v>141</v>
      </c>
      <c r="P10" s="17" t="s">
        <v>14</v>
      </c>
    </row>
    <row r="11" customFormat="false" ht="23.85" hidden="false" customHeight="false" outlineLevel="0" collapsed="false">
      <c r="A11" s="18" t="s">
        <v>129</v>
      </c>
      <c r="B11" s="18" t="n">
        <v>0</v>
      </c>
      <c r="C11" s="18" t="s">
        <v>142</v>
      </c>
      <c r="D11" s="18" t="s">
        <v>143</v>
      </c>
      <c r="E11" s="18" t="s">
        <v>144</v>
      </c>
      <c r="F11" s="18" t="s">
        <v>145</v>
      </c>
      <c r="G11" s="18" t="s">
        <v>146</v>
      </c>
      <c r="H11" s="18" t="s">
        <v>130</v>
      </c>
      <c r="I11" s="18" t="s">
        <v>136</v>
      </c>
      <c r="J11" s="18" t="s">
        <v>102</v>
      </c>
      <c r="K11" s="18" t="s">
        <v>137</v>
      </c>
      <c r="L11" s="18" t="s">
        <v>147</v>
      </c>
      <c r="M11" s="18" t="s">
        <v>148</v>
      </c>
      <c r="N11" s="18" t="s">
        <v>149</v>
      </c>
      <c r="O11" s="18" t="s">
        <v>150</v>
      </c>
      <c r="P11" s="18" t="s">
        <v>14</v>
      </c>
    </row>
    <row r="12" customFormat="false" ht="23.85" hidden="false" customHeight="false" outlineLevel="0" collapsed="false">
      <c r="A12" s="17" t="s">
        <v>129</v>
      </c>
      <c r="B12" s="17" t="n">
        <v>0</v>
      </c>
      <c r="C12" s="17" t="s">
        <v>151</v>
      </c>
      <c r="D12" s="17" t="s">
        <v>152</v>
      </c>
      <c r="E12" s="17" t="s">
        <v>153</v>
      </c>
      <c r="F12" s="17" t="s">
        <v>154</v>
      </c>
      <c r="G12" s="17" t="s">
        <v>155</v>
      </c>
      <c r="H12" s="17" t="s">
        <v>142</v>
      </c>
      <c r="I12" s="17" t="s">
        <v>136</v>
      </c>
      <c r="J12" s="17" t="s">
        <v>103</v>
      </c>
      <c r="K12" s="17" t="s">
        <v>137</v>
      </c>
      <c r="L12" s="17" t="s">
        <v>147</v>
      </c>
      <c r="M12" s="17" t="s">
        <v>156</v>
      </c>
      <c r="N12" s="17" t="s">
        <v>157</v>
      </c>
      <c r="O12" s="17" t="s">
        <v>158</v>
      </c>
      <c r="P12" s="17" t="s">
        <v>18</v>
      </c>
    </row>
    <row r="13" customFormat="false" ht="23.85" hidden="false" customHeight="false" outlineLevel="0" collapsed="false">
      <c r="A13" s="18" t="s">
        <v>129</v>
      </c>
      <c r="B13" s="18" t="n">
        <v>0</v>
      </c>
      <c r="C13" s="18" t="s">
        <v>159</v>
      </c>
      <c r="D13" s="18" t="s">
        <v>160</v>
      </c>
      <c r="E13" s="18" t="s">
        <v>161</v>
      </c>
      <c r="F13" s="18" t="s">
        <v>162</v>
      </c>
      <c r="G13" s="18" t="s">
        <v>163</v>
      </c>
      <c r="H13" s="18" t="s">
        <v>151</v>
      </c>
      <c r="I13" s="18" t="s">
        <v>136</v>
      </c>
      <c r="J13" s="18" t="s">
        <v>103</v>
      </c>
      <c r="K13" s="18" t="s">
        <v>137</v>
      </c>
      <c r="L13" s="18" t="s">
        <v>147</v>
      </c>
      <c r="M13" s="18" t="s">
        <v>164</v>
      </c>
      <c r="N13" s="18" t="s">
        <v>165</v>
      </c>
      <c r="O13" s="18" t="s">
        <v>166</v>
      </c>
      <c r="P13" s="18" t="s">
        <v>14</v>
      </c>
    </row>
    <row r="14" customFormat="false" ht="23.85" hidden="false" customHeight="false" outlineLevel="0" collapsed="false">
      <c r="A14" s="17" t="s">
        <v>129</v>
      </c>
      <c r="B14" s="17" t="n">
        <v>0</v>
      </c>
      <c r="C14" s="17" t="s">
        <v>167</v>
      </c>
      <c r="D14" s="17" t="s">
        <v>168</v>
      </c>
      <c r="E14" s="17" t="s">
        <v>169</v>
      </c>
      <c r="F14" s="17" t="s">
        <v>170</v>
      </c>
      <c r="G14" s="17" t="s">
        <v>171</v>
      </c>
      <c r="H14" s="17" t="s">
        <v>159</v>
      </c>
      <c r="I14" s="17" t="s">
        <v>172</v>
      </c>
      <c r="J14" s="17" t="s">
        <v>103</v>
      </c>
      <c r="K14" s="17" t="s">
        <v>137</v>
      </c>
      <c r="L14" s="17" t="s">
        <v>147</v>
      </c>
      <c r="M14" s="17" t="s">
        <v>173</v>
      </c>
      <c r="N14" s="17" t="s">
        <v>174</v>
      </c>
      <c r="O14" s="17" t="s">
        <v>175</v>
      </c>
      <c r="P14" s="17" t="s">
        <v>16</v>
      </c>
    </row>
    <row r="15" customFormat="false" ht="23.85" hidden="false" customHeight="false" outlineLevel="0" collapsed="false">
      <c r="A15" s="18" t="s">
        <v>129</v>
      </c>
      <c r="B15" s="18" t="n">
        <v>0</v>
      </c>
      <c r="C15" s="18" t="s">
        <v>176</v>
      </c>
      <c r="D15" s="18" t="s">
        <v>177</v>
      </c>
      <c r="E15" s="18" t="s">
        <v>178</v>
      </c>
      <c r="F15" s="18" t="s">
        <v>179</v>
      </c>
      <c r="G15" s="18" t="s">
        <v>180</v>
      </c>
      <c r="H15" s="18" t="s">
        <v>151</v>
      </c>
      <c r="I15" s="18" t="s">
        <v>172</v>
      </c>
      <c r="J15" s="18" t="s">
        <v>103</v>
      </c>
      <c r="K15" s="18" t="s">
        <v>137</v>
      </c>
      <c r="L15" s="18" t="s">
        <v>181</v>
      </c>
      <c r="M15" s="18" t="s">
        <v>182</v>
      </c>
      <c r="N15" s="18" t="s">
        <v>183</v>
      </c>
      <c r="O15" s="18" t="s">
        <v>184</v>
      </c>
      <c r="P15" s="18" t="s">
        <v>14</v>
      </c>
    </row>
    <row r="16" customFormat="false" ht="23.85" hidden="false" customHeight="false" outlineLevel="0" collapsed="false">
      <c r="A16" s="17" t="s">
        <v>129</v>
      </c>
      <c r="B16" s="17" t="n">
        <v>0</v>
      </c>
      <c r="C16" s="17" t="s">
        <v>185</v>
      </c>
      <c r="D16" s="17" t="s">
        <v>186</v>
      </c>
      <c r="E16" s="17" t="s">
        <v>187</v>
      </c>
      <c r="F16" s="17" t="s">
        <v>188</v>
      </c>
      <c r="G16" s="17" t="s">
        <v>189</v>
      </c>
      <c r="H16" s="17" t="s">
        <v>151</v>
      </c>
      <c r="I16" s="17" t="s">
        <v>172</v>
      </c>
      <c r="J16" s="17" t="s">
        <v>103</v>
      </c>
      <c r="K16" s="17" t="s">
        <v>137</v>
      </c>
      <c r="L16" s="17" t="s">
        <v>181</v>
      </c>
      <c r="M16" s="17" t="s">
        <v>190</v>
      </c>
      <c r="N16" s="17" t="s">
        <v>191</v>
      </c>
      <c r="O16" s="17" t="s">
        <v>192</v>
      </c>
      <c r="P16" s="17" t="s">
        <v>18</v>
      </c>
    </row>
    <row r="17" customFormat="false" ht="35.05" hidden="false" customHeight="false" outlineLevel="0" collapsed="false">
      <c r="A17" s="18" t="s">
        <v>129</v>
      </c>
      <c r="B17" s="18" t="n">
        <v>0</v>
      </c>
      <c r="C17" s="18" t="s">
        <v>193</v>
      </c>
      <c r="D17" s="18" t="s">
        <v>194</v>
      </c>
      <c r="E17" s="18" t="s">
        <v>195</v>
      </c>
      <c r="F17" s="18" t="s">
        <v>196</v>
      </c>
      <c r="G17" s="18" t="s">
        <v>197</v>
      </c>
      <c r="H17" s="18" t="s">
        <v>151</v>
      </c>
      <c r="I17" s="18" t="s">
        <v>136</v>
      </c>
      <c r="J17" s="18" t="s">
        <v>103</v>
      </c>
      <c r="K17" s="18" t="s">
        <v>137</v>
      </c>
      <c r="L17" s="18" t="s">
        <v>181</v>
      </c>
      <c r="M17" s="18" t="s">
        <v>198</v>
      </c>
      <c r="N17" s="18" t="s">
        <v>199</v>
      </c>
      <c r="O17" s="18" t="s">
        <v>200</v>
      </c>
      <c r="P17" s="18" t="s">
        <v>14</v>
      </c>
    </row>
    <row r="18" customFormat="false" ht="23.85" hidden="false" customHeight="false" outlineLevel="0" collapsed="false">
      <c r="A18" s="17" t="s">
        <v>201</v>
      </c>
      <c r="B18" s="17" t="n">
        <v>1</v>
      </c>
      <c r="C18" s="17" t="s">
        <v>202</v>
      </c>
      <c r="D18" s="17" t="s">
        <v>203</v>
      </c>
      <c r="E18" s="17" t="s">
        <v>204</v>
      </c>
      <c r="F18" s="17" t="s">
        <v>205</v>
      </c>
      <c r="G18" s="17" t="s">
        <v>206</v>
      </c>
      <c r="H18" s="17" t="s">
        <v>185</v>
      </c>
      <c r="I18" s="17" t="s">
        <v>136</v>
      </c>
      <c r="J18" s="17" t="s">
        <v>103</v>
      </c>
      <c r="K18" s="17" t="s">
        <v>137</v>
      </c>
      <c r="L18" s="17" t="s">
        <v>147</v>
      </c>
      <c r="M18" s="17" t="s">
        <v>207</v>
      </c>
      <c r="N18" s="17" t="s">
        <v>208</v>
      </c>
      <c r="O18" s="17"/>
      <c r="P18" s="17" t="s">
        <v>16</v>
      </c>
    </row>
    <row r="19" customFormat="false" ht="23.85" hidden="false" customHeight="false" outlineLevel="0" collapsed="false">
      <c r="A19" s="18" t="s">
        <v>201</v>
      </c>
      <c r="B19" s="18" t="n">
        <v>1</v>
      </c>
      <c r="C19" s="18" t="s">
        <v>209</v>
      </c>
      <c r="D19" s="18" t="s">
        <v>210</v>
      </c>
      <c r="E19" s="18" t="s">
        <v>211</v>
      </c>
      <c r="F19" s="18" t="s">
        <v>212</v>
      </c>
      <c r="G19" s="18" t="s">
        <v>213</v>
      </c>
      <c r="H19" s="18" t="s">
        <v>202</v>
      </c>
      <c r="I19" s="18" t="s">
        <v>172</v>
      </c>
      <c r="J19" s="18" t="s">
        <v>103</v>
      </c>
      <c r="K19" s="18" t="s">
        <v>137</v>
      </c>
      <c r="L19" s="18" t="s">
        <v>147</v>
      </c>
      <c r="M19" s="18" t="s">
        <v>214</v>
      </c>
      <c r="N19" s="18" t="s">
        <v>215</v>
      </c>
      <c r="O19" s="18" t="s">
        <v>216</v>
      </c>
      <c r="P19" s="18" t="s">
        <v>16</v>
      </c>
    </row>
    <row r="20" customFormat="false" ht="23.85" hidden="false" customHeight="false" outlineLevel="0" collapsed="false">
      <c r="A20" s="17" t="s">
        <v>201</v>
      </c>
      <c r="B20" s="17" t="n">
        <v>1</v>
      </c>
      <c r="C20" s="17" t="s">
        <v>217</v>
      </c>
      <c r="D20" s="17" t="s">
        <v>218</v>
      </c>
      <c r="E20" s="17" t="s">
        <v>219</v>
      </c>
      <c r="F20" s="17" t="s">
        <v>220</v>
      </c>
      <c r="G20" s="17" t="s">
        <v>221</v>
      </c>
      <c r="H20" s="17" t="s">
        <v>159</v>
      </c>
      <c r="I20" s="17" t="s">
        <v>136</v>
      </c>
      <c r="J20" s="17" t="s">
        <v>103</v>
      </c>
      <c r="K20" s="17" t="s">
        <v>137</v>
      </c>
      <c r="L20" s="17" t="s">
        <v>147</v>
      </c>
      <c r="M20" s="17" t="s">
        <v>222</v>
      </c>
      <c r="N20" s="17" t="s">
        <v>223</v>
      </c>
      <c r="O20" s="17" t="s">
        <v>224</v>
      </c>
      <c r="P20" s="17" t="s">
        <v>18</v>
      </c>
    </row>
    <row r="21" customFormat="false" ht="23.85" hidden="false" customHeight="false" outlineLevel="0" collapsed="false">
      <c r="A21" s="18" t="s">
        <v>201</v>
      </c>
      <c r="B21" s="18" t="n">
        <v>1</v>
      </c>
      <c r="C21" s="18" t="s">
        <v>225</v>
      </c>
      <c r="D21" s="18" t="s">
        <v>226</v>
      </c>
      <c r="E21" s="18" t="s">
        <v>227</v>
      </c>
      <c r="F21" s="18" t="s">
        <v>228</v>
      </c>
      <c r="G21" s="18" t="s">
        <v>229</v>
      </c>
      <c r="H21" s="18" t="s">
        <v>159</v>
      </c>
      <c r="I21" s="18" t="s">
        <v>136</v>
      </c>
      <c r="J21" s="18" t="s">
        <v>103</v>
      </c>
      <c r="K21" s="18" t="s">
        <v>137</v>
      </c>
      <c r="L21" s="18" t="s">
        <v>147</v>
      </c>
      <c r="M21" s="18" t="s">
        <v>222</v>
      </c>
      <c r="N21" s="18" t="s">
        <v>223</v>
      </c>
      <c r="O21" s="18" t="s">
        <v>230</v>
      </c>
      <c r="P21" s="18" t="s">
        <v>18</v>
      </c>
    </row>
    <row r="22" customFormat="false" ht="15" hidden="false" customHeight="false" outlineLevel="0" collapsed="false">
      <c r="A22" s="17" t="s">
        <v>201</v>
      </c>
      <c r="B22" s="17" t="n">
        <v>1</v>
      </c>
      <c r="C22" s="17" t="s">
        <v>231</v>
      </c>
      <c r="D22" s="17" t="s">
        <v>232</v>
      </c>
      <c r="E22" s="17" t="s">
        <v>233</v>
      </c>
      <c r="F22" s="17" t="s">
        <v>234</v>
      </c>
      <c r="G22" s="17" t="s">
        <v>235</v>
      </c>
      <c r="H22" s="17" t="s">
        <v>236</v>
      </c>
      <c r="I22" s="17" t="s">
        <v>136</v>
      </c>
      <c r="J22" s="17" t="s">
        <v>103</v>
      </c>
      <c r="K22" s="17" t="s">
        <v>137</v>
      </c>
      <c r="L22" s="17" t="s">
        <v>147</v>
      </c>
      <c r="M22" s="17" t="s">
        <v>237</v>
      </c>
      <c r="N22" s="17" t="s">
        <v>238</v>
      </c>
      <c r="O22" s="17"/>
      <c r="P22" s="17" t="s">
        <v>16</v>
      </c>
    </row>
    <row r="23" customFormat="false" ht="15" hidden="false" customHeight="false" outlineLevel="0" collapsed="false">
      <c r="A23" s="18" t="s">
        <v>201</v>
      </c>
      <c r="B23" s="18" t="n">
        <v>1</v>
      </c>
      <c r="C23" s="18" t="s">
        <v>239</v>
      </c>
      <c r="D23" s="18" t="s">
        <v>240</v>
      </c>
      <c r="E23" s="18" t="s">
        <v>241</v>
      </c>
      <c r="F23" s="18" t="s">
        <v>242</v>
      </c>
      <c r="G23" s="18" t="s">
        <v>243</v>
      </c>
      <c r="H23" s="18" t="s">
        <v>231</v>
      </c>
      <c r="I23" s="18" t="s">
        <v>172</v>
      </c>
      <c r="J23" s="18" t="s">
        <v>103</v>
      </c>
      <c r="K23" s="18" t="s">
        <v>137</v>
      </c>
      <c r="L23" s="18" t="s">
        <v>147</v>
      </c>
      <c r="M23" s="18" t="s">
        <v>244</v>
      </c>
      <c r="N23" s="18" t="s">
        <v>245</v>
      </c>
      <c r="O23" s="18"/>
      <c r="P23" s="18" t="s">
        <v>16</v>
      </c>
    </row>
    <row r="24" customFormat="false" ht="15" hidden="false" customHeight="false" outlineLevel="0" collapsed="false">
      <c r="A24" s="17" t="s">
        <v>201</v>
      </c>
      <c r="B24" s="17" t="n">
        <v>1</v>
      </c>
      <c r="C24" s="17" t="s">
        <v>246</v>
      </c>
      <c r="D24" s="17" t="s">
        <v>247</v>
      </c>
      <c r="E24" s="17" t="s">
        <v>248</v>
      </c>
      <c r="F24" s="17" t="s">
        <v>249</v>
      </c>
      <c r="G24" s="17" t="s">
        <v>250</v>
      </c>
      <c r="H24" s="17" t="s">
        <v>231</v>
      </c>
      <c r="I24" s="17" t="s">
        <v>136</v>
      </c>
      <c r="J24" s="17" t="s">
        <v>103</v>
      </c>
      <c r="K24" s="17" t="s">
        <v>137</v>
      </c>
      <c r="L24" s="17" t="s">
        <v>147</v>
      </c>
      <c r="M24" s="17" t="s">
        <v>251</v>
      </c>
      <c r="N24" s="17" t="s">
        <v>252</v>
      </c>
      <c r="O24" s="17" t="s">
        <v>253</v>
      </c>
      <c r="P24" s="17" t="s">
        <v>16</v>
      </c>
    </row>
    <row r="25" customFormat="false" ht="15" hidden="false" customHeight="false" outlineLevel="0" collapsed="false">
      <c r="A25" s="18" t="s">
        <v>201</v>
      </c>
      <c r="B25" s="18" t="n">
        <v>1</v>
      </c>
      <c r="C25" s="18" t="s">
        <v>254</v>
      </c>
      <c r="D25" s="18" t="s">
        <v>255</v>
      </c>
      <c r="E25" s="18" t="s">
        <v>256</v>
      </c>
      <c r="F25" s="18" t="s">
        <v>257</v>
      </c>
      <c r="G25" s="18" t="s">
        <v>258</v>
      </c>
      <c r="H25" s="18" t="s">
        <v>231</v>
      </c>
      <c r="I25" s="18" t="s">
        <v>172</v>
      </c>
      <c r="J25" s="18" t="s">
        <v>103</v>
      </c>
      <c r="K25" s="18" t="s">
        <v>137</v>
      </c>
      <c r="L25" s="18" t="s">
        <v>147</v>
      </c>
      <c r="M25" s="18" t="s">
        <v>259</v>
      </c>
      <c r="N25" s="18" t="s">
        <v>260</v>
      </c>
      <c r="O25" s="18"/>
      <c r="P25" s="18" t="s">
        <v>16</v>
      </c>
    </row>
    <row r="26" customFormat="false" ht="15" hidden="false" customHeight="false" outlineLevel="0" collapsed="false">
      <c r="A26" s="17" t="s">
        <v>201</v>
      </c>
      <c r="B26" s="17" t="n">
        <v>1</v>
      </c>
      <c r="C26" s="17" t="s">
        <v>261</v>
      </c>
      <c r="D26" s="17" t="s">
        <v>262</v>
      </c>
      <c r="E26" s="17" t="s">
        <v>263</v>
      </c>
      <c r="F26" s="17" t="s">
        <v>264</v>
      </c>
      <c r="G26" s="17" t="s">
        <v>265</v>
      </c>
      <c r="H26" s="17" t="s">
        <v>239</v>
      </c>
      <c r="I26" s="17" t="s">
        <v>172</v>
      </c>
      <c r="J26" s="17" t="s">
        <v>103</v>
      </c>
      <c r="K26" s="17" t="s">
        <v>137</v>
      </c>
      <c r="L26" s="17" t="s">
        <v>147</v>
      </c>
      <c r="M26" s="17" t="s">
        <v>266</v>
      </c>
      <c r="N26" s="17" t="s">
        <v>267</v>
      </c>
      <c r="O26" s="17" t="s">
        <v>268</v>
      </c>
      <c r="P26" s="17" t="s">
        <v>16</v>
      </c>
    </row>
    <row r="27" customFormat="false" ht="15" hidden="false" customHeight="false" outlineLevel="0" collapsed="false">
      <c r="A27" s="18" t="s">
        <v>201</v>
      </c>
      <c r="B27" s="18" t="n">
        <v>1</v>
      </c>
      <c r="C27" s="18" t="s">
        <v>269</v>
      </c>
      <c r="D27" s="18" t="s">
        <v>270</v>
      </c>
      <c r="E27" s="18" t="s">
        <v>271</v>
      </c>
      <c r="F27" s="18" t="s">
        <v>272</v>
      </c>
      <c r="G27" s="18" t="s">
        <v>273</v>
      </c>
      <c r="H27" s="18" t="s">
        <v>231</v>
      </c>
      <c r="I27" s="18" t="s">
        <v>274</v>
      </c>
      <c r="J27" s="18" t="s">
        <v>103</v>
      </c>
      <c r="K27" s="18" t="s">
        <v>137</v>
      </c>
      <c r="L27" s="18" t="s">
        <v>147</v>
      </c>
      <c r="M27" s="18" t="s">
        <v>275</v>
      </c>
      <c r="N27" s="18" t="s">
        <v>276</v>
      </c>
      <c r="O27" s="18"/>
      <c r="P27" s="18" t="s">
        <v>16</v>
      </c>
    </row>
    <row r="28" customFormat="false" ht="23.85" hidden="false" customHeight="false" outlineLevel="0" collapsed="false">
      <c r="A28" s="17" t="s">
        <v>277</v>
      </c>
      <c r="B28" s="17" t="n">
        <v>2</v>
      </c>
      <c r="C28" s="17" t="s">
        <v>278</v>
      </c>
      <c r="D28" s="17" t="s">
        <v>279</v>
      </c>
      <c r="E28" s="17" t="s">
        <v>280</v>
      </c>
      <c r="F28" s="17" t="s">
        <v>281</v>
      </c>
      <c r="G28" s="17" t="s">
        <v>282</v>
      </c>
      <c r="H28" s="17" t="s">
        <v>225</v>
      </c>
      <c r="I28" s="17" t="s">
        <v>136</v>
      </c>
      <c r="J28" s="17" t="s">
        <v>103</v>
      </c>
      <c r="K28" s="17" t="s">
        <v>137</v>
      </c>
      <c r="L28" s="17" t="s">
        <v>181</v>
      </c>
      <c r="M28" s="17" t="s">
        <v>283</v>
      </c>
      <c r="N28" s="17" t="s">
        <v>284</v>
      </c>
      <c r="O28" s="17" t="s">
        <v>285</v>
      </c>
      <c r="P28" s="17" t="s">
        <v>14</v>
      </c>
    </row>
    <row r="29" customFormat="false" ht="23.85" hidden="false" customHeight="false" outlineLevel="0" collapsed="false">
      <c r="A29" s="18" t="s">
        <v>277</v>
      </c>
      <c r="B29" s="18" t="n">
        <v>2</v>
      </c>
      <c r="C29" s="18" t="s">
        <v>286</v>
      </c>
      <c r="D29" s="18" t="s">
        <v>287</v>
      </c>
      <c r="E29" s="18" t="s">
        <v>288</v>
      </c>
      <c r="F29" s="18" t="s">
        <v>289</v>
      </c>
      <c r="G29" s="18" t="s">
        <v>290</v>
      </c>
      <c r="H29" s="18" t="s">
        <v>151</v>
      </c>
      <c r="I29" s="18" t="s">
        <v>136</v>
      </c>
      <c r="J29" s="18" t="s">
        <v>103</v>
      </c>
      <c r="K29" s="18" t="s">
        <v>137</v>
      </c>
      <c r="L29" s="18" t="s">
        <v>181</v>
      </c>
      <c r="M29" s="18" t="s">
        <v>291</v>
      </c>
      <c r="N29" s="18" t="s">
        <v>292</v>
      </c>
      <c r="O29" s="18" t="s">
        <v>293</v>
      </c>
      <c r="P29" s="18" t="s">
        <v>14</v>
      </c>
    </row>
    <row r="30" customFormat="false" ht="23.85" hidden="false" customHeight="false" outlineLevel="0" collapsed="false">
      <c r="A30" s="17" t="s">
        <v>277</v>
      </c>
      <c r="B30" s="17" t="n">
        <v>2</v>
      </c>
      <c r="C30" s="17" t="s">
        <v>294</v>
      </c>
      <c r="D30" s="17" t="s">
        <v>295</v>
      </c>
      <c r="E30" s="17" t="s">
        <v>296</v>
      </c>
      <c r="F30" s="17" t="s">
        <v>297</v>
      </c>
      <c r="G30" s="17" t="s">
        <v>298</v>
      </c>
      <c r="H30" s="17" t="s">
        <v>286</v>
      </c>
      <c r="I30" s="17" t="s">
        <v>136</v>
      </c>
      <c r="J30" s="17" t="s">
        <v>103</v>
      </c>
      <c r="K30" s="17" t="s">
        <v>137</v>
      </c>
      <c r="L30" s="17" t="s">
        <v>147</v>
      </c>
      <c r="M30" s="17" t="s">
        <v>299</v>
      </c>
      <c r="N30" s="17" t="s">
        <v>300</v>
      </c>
      <c r="O30" s="17" t="s">
        <v>301</v>
      </c>
      <c r="P30" s="17" t="s">
        <v>14</v>
      </c>
    </row>
    <row r="31" customFormat="false" ht="23.85" hidden="false" customHeight="false" outlineLevel="0" collapsed="false">
      <c r="A31" s="18" t="s">
        <v>277</v>
      </c>
      <c r="B31" s="18" t="n">
        <v>2</v>
      </c>
      <c r="C31" s="18" t="s">
        <v>302</v>
      </c>
      <c r="D31" s="18" t="s">
        <v>303</v>
      </c>
      <c r="E31" s="18" t="s">
        <v>304</v>
      </c>
      <c r="F31" s="18" t="s">
        <v>305</v>
      </c>
      <c r="G31" s="18" t="s">
        <v>306</v>
      </c>
      <c r="H31" s="18" t="s">
        <v>225</v>
      </c>
      <c r="I31" s="18" t="s">
        <v>136</v>
      </c>
      <c r="J31" s="18" t="s">
        <v>103</v>
      </c>
      <c r="K31" s="18" t="s">
        <v>137</v>
      </c>
      <c r="L31" s="18" t="s">
        <v>147</v>
      </c>
      <c r="M31" s="18" t="s">
        <v>222</v>
      </c>
      <c r="N31" s="18" t="s">
        <v>307</v>
      </c>
      <c r="O31" s="18" t="s">
        <v>308</v>
      </c>
      <c r="P31" s="18" t="s">
        <v>18</v>
      </c>
    </row>
    <row r="32" customFormat="false" ht="23.85" hidden="false" customHeight="false" outlineLevel="0" collapsed="false">
      <c r="A32" s="17" t="s">
        <v>277</v>
      </c>
      <c r="B32" s="17" t="n">
        <v>2</v>
      </c>
      <c r="C32" s="17" t="s">
        <v>309</v>
      </c>
      <c r="D32" s="17" t="s">
        <v>310</v>
      </c>
      <c r="E32" s="17" t="s">
        <v>311</v>
      </c>
      <c r="F32" s="17" t="s">
        <v>312</v>
      </c>
      <c r="G32" s="17" t="s">
        <v>313</v>
      </c>
      <c r="H32" s="17" t="s">
        <v>302</v>
      </c>
      <c r="I32" s="17" t="s">
        <v>136</v>
      </c>
      <c r="J32" s="17" t="s">
        <v>103</v>
      </c>
      <c r="K32" s="17" t="s">
        <v>137</v>
      </c>
      <c r="L32" s="17" t="s">
        <v>147</v>
      </c>
      <c r="M32" s="17" t="s">
        <v>314</v>
      </c>
      <c r="N32" s="17" t="s">
        <v>315</v>
      </c>
      <c r="O32" s="17" t="s">
        <v>316</v>
      </c>
      <c r="P32" s="17" t="s">
        <v>18</v>
      </c>
    </row>
    <row r="33" customFormat="false" ht="23.85" hidden="false" customHeight="false" outlineLevel="0" collapsed="false">
      <c r="A33" s="18" t="s">
        <v>277</v>
      </c>
      <c r="B33" s="18" t="n">
        <v>2</v>
      </c>
      <c r="C33" s="18" t="s">
        <v>317</v>
      </c>
      <c r="D33" s="18" t="s">
        <v>318</v>
      </c>
      <c r="E33" s="18" t="s">
        <v>319</v>
      </c>
      <c r="F33" s="18" t="s">
        <v>320</v>
      </c>
      <c r="G33" s="18" t="s">
        <v>321</v>
      </c>
      <c r="H33" s="18" t="s">
        <v>286</v>
      </c>
      <c r="I33" s="18" t="s">
        <v>136</v>
      </c>
      <c r="J33" s="18" t="s">
        <v>103</v>
      </c>
      <c r="K33" s="18" t="s">
        <v>137</v>
      </c>
      <c r="L33" s="18" t="s">
        <v>181</v>
      </c>
      <c r="M33" s="18" t="s">
        <v>322</v>
      </c>
      <c r="N33" s="18" t="s">
        <v>323</v>
      </c>
      <c r="O33" s="18" t="s">
        <v>324</v>
      </c>
      <c r="P33" s="18" t="s">
        <v>14</v>
      </c>
    </row>
    <row r="34" customFormat="false" ht="23.85" hidden="false" customHeight="false" outlineLevel="0" collapsed="false">
      <c r="A34" s="17" t="s">
        <v>277</v>
      </c>
      <c r="B34" s="17" t="n">
        <v>2</v>
      </c>
      <c r="C34" s="17" t="s">
        <v>325</v>
      </c>
      <c r="D34" s="17" t="s">
        <v>326</v>
      </c>
      <c r="E34" s="17" t="s">
        <v>327</v>
      </c>
      <c r="F34" s="17" t="s">
        <v>328</v>
      </c>
      <c r="G34" s="17" t="s">
        <v>329</v>
      </c>
      <c r="H34" s="17" t="s">
        <v>302</v>
      </c>
      <c r="I34" s="17" t="s">
        <v>172</v>
      </c>
      <c r="J34" s="17" t="s">
        <v>103</v>
      </c>
      <c r="K34" s="17" t="s">
        <v>137</v>
      </c>
      <c r="L34" s="17" t="s">
        <v>147</v>
      </c>
      <c r="M34" s="17" t="s">
        <v>330</v>
      </c>
      <c r="N34" s="17" t="s">
        <v>331</v>
      </c>
      <c r="O34" s="17" t="s">
        <v>332</v>
      </c>
      <c r="P34" s="17" t="s">
        <v>16</v>
      </c>
    </row>
    <row r="35" customFormat="false" ht="23.85" hidden="false" customHeight="false" outlineLevel="0" collapsed="false">
      <c r="A35" s="18" t="s">
        <v>277</v>
      </c>
      <c r="B35" s="18" t="n">
        <v>2</v>
      </c>
      <c r="C35" s="18" t="s">
        <v>333</v>
      </c>
      <c r="D35" s="18" t="s">
        <v>334</v>
      </c>
      <c r="E35" s="18" t="s">
        <v>335</v>
      </c>
      <c r="F35" s="18" t="s">
        <v>336</v>
      </c>
      <c r="G35" s="18" t="s">
        <v>337</v>
      </c>
      <c r="H35" s="18" t="s">
        <v>278</v>
      </c>
      <c r="I35" s="18" t="s">
        <v>172</v>
      </c>
      <c r="J35" s="18" t="s">
        <v>103</v>
      </c>
      <c r="K35" s="18" t="s">
        <v>137</v>
      </c>
      <c r="L35" s="18" t="s">
        <v>181</v>
      </c>
      <c r="M35" s="18" t="s">
        <v>338</v>
      </c>
      <c r="N35" s="18" t="s">
        <v>339</v>
      </c>
      <c r="O35" s="18" t="s">
        <v>340</v>
      </c>
      <c r="P35" s="18" t="s">
        <v>14</v>
      </c>
    </row>
    <row r="36" customFormat="false" ht="23.85" hidden="false" customHeight="false" outlineLevel="0" collapsed="false">
      <c r="A36" s="17" t="s">
        <v>277</v>
      </c>
      <c r="B36" s="17" t="n">
        <v>2</v>
      </c>
      <c r="C36" s="17" t="s">
        <v>341</v>
      </c>
      <c r="D36" s="17" t="s">
        <v>342</v>
      </c>
      <c r="E36" s="17" t="s">
        <v>343</v>
      </c>
      <c r="F36" s="17" t="s">
        <v>344</v>
      </c>
      <c r="G36" s="17" t="s">
        <v>345</v>
      </c>
      <c r="H36" s="17" t="s">
        <v>225</v>
      </c>
      <c r="I36" s="17" t="s">
        <v>136</v>
      </c>
      <c r="J36" s="17" t="s">
        <v>103</v>
      </c>
      <c r="K36" s="17" t="s">
        <v>137</v>
      </c>
      <c r="L36" s="17" t="s">
        <v>147</v>
      </c>
      <c r="M36" s="17" t="s">
        <v>346</v>
      </c>
      <c r="N36" s="17" t="s">
        <v>347</v>
      </c>
      <c r="O36" s="17" t="s">
        <v>348</v>
      </c>
      <c r="P36" s="17" t="s">
        <v>18</v>
      </c>
    </row>
    <row r="37" customFormat="false" ht="15" hidden="false" customHeight="false" outlineLevel="0" collapsed="false">
      <c r="A37" s="18" t="s">
        <v>277</v>
      </c>
      <c r="B37" s="18" t="n">
        <v>2</v>
      </c>
      <c r="C37" s="18" t="s">
        <v>349</v>
      </c>
      <c r="D37" s="18" t="s">
        <v>350</v>
      </c>
      <c r="E37" s="18" t="s">
        <v>351</v>
      </c>
      <c r="F37" s="18" t="s">
        <v>352</v>
      </c>
      <c r="G37" s="18" t="s">
        <v>353</v>
      </c>
      <c r="H37" s="18" t="s">
        <v>354</v>
      </c>
      <c r="I37" s="18" t="s">
        <v>172</v>
      </c>
      <c r="J37" s="18" t="s">
        <v>103</v>
      </c>
      <c r="K37" s="18" t="s">
        <v>137</v>
      </c>
      <c r="L37" s="18" t="s">
        <v>181</v>
      </c>
      <c r="M37" s="18" t="s">
        <v>355</v>
      </c>
      <c r="N37" s="18" t="s">
        <v>356</v>
      </c>
      <c r="O37" s="18"/>
      <c r="P37" s="18" t="s">
        <v>16</v>
      </c>
    </row>
    <row r="38" customFormat="false" ht="23.85" hidden="false" customHeight="false" outlineLevel="0" collapsed="false">
      <c r="A38" s="17" t="s">
        <v>357</v>
      </c>
      <c r="B38" s="17" t="n">
        <v>3</v>
      </c>
      <c r="C38" s="17" t="s">
        <v>358</v>
      </c>
      <c r="D38" s="17" t="s">
        <v>359</v>
      </c>
      <c r="E38" s="17" t="s">
        <v>360</v>
      </c>
      <c r="F38" s="17" t="s">
        <v>361</v>
      </c>
      <c r="G38" s="17" t="s">
        <v>362</v>
      </c>
      <c r="H38" s="17" t="s">
        <v>231</v>
      </c>
      <c r="I38" s="17" t="s">
        <v>136</v>
      </c>
      <c r="J38" s="17" t="s">
        <v>103</v>
      </c>
      <c r="K38" s="17" t="s">
        <v>137</v>
      </c>
      <c r="L38" s="17" t="s">
        <v>181</v>
      </c>
      <c r="M38" s="17" t="s">
        <v>363</v>
      </c>
      <c r="N38" s="17" t="s">
        <v>364</v>
      </c>
      <c r="O38" s="17" t="s">
        <v>365</v>
      </c>
      <c r="P38" s="17" t="s">
        <v>14</v>
      </c>
    </row>
    <row r="39" customFormat="false" ht="23.85" hidden="false" customHeight="false" outlineLevel="0" collapsed="false">
      <c r="A39" s="18" t="s">
        <v>357</v>
      </c>
      <c r="B39" s="18" t="n">
        <v>3</v>
      </c>
      <c r="C39" s="18" t="s">
        <v>366</v>
      </c>
      <c r="D39" s="18" t="s">
        <v>367</v>
      </c>
      <c r="E39" s="18" t="s">
        <v>368</v>
      </c>
      <c r="F39" s="18" t="s">
        <v>369</v>
      </c>
      <c r="G39" s="18" t="s">
        <v>370</v>
      </c>
      <c r="H39" s="18" t="s">
        <v>358</v>
      </c>
      <c r="I39" s="18" t="s">
        <v>172</v>
      </c>
      <c r="J39" s="18" t="s">
        <v>103</v>
      </c>
      <c r="K39" s="18" t="s">
        <v>137</v>
      </c>
      <c r="L39" s="18" t="s">
        <v>147</v>
      </c>
      <c r="M39" s="18" t="s">
        <v>371</v>
      </c>
      <c r="N39" s="18" t="s">
        <v>372</v>
      </c>
      <c r="O39" s="18" t="s">
        <v>373</v>
      </c>
      <c r="P39" s="18" t="s">
        <v>16</v>
      </c>
    </row>
    <row r="40" customFormat="false" ht="23.85" hidden="false" customHeight="false" outlineLevel="0" collapsed="false">
      <c r="A40" s="17" t="s">
        <v>357</v>
      </c>
      <c r="B40" s="17" t="n">
        <v>3</v>
      </c>
      <c r="C40" s="17" t="s">
        <v>374</v>
      </c>
      <c r="D40" s="17" t="s">
        <v>375</v>
      </c>
      <c r="E40" s="17" t="s">
        <v>376</v>
      </c>
      <c r="F40" s="17" t="s">
        <v>377</v>
      </c>
      <c r="G40" s="17" t="s">
        <v>378</v>
      </c>
      <c r="H40" s="17" t="s">
        <v>358</v>
      </c>
      <c r="I40" s="17" t="s">
        <v>136</v>
      </c>
      <c r="J40" s="17" t="s">
        <v>103</v>
      </c>
      <c r="K40" s="17" t="s">
        <v>137</v>
      </c>
      <c r="L40" s="17" t="s">
        <v>379</v>
      </c>
      <c r="M40" s="17" t="s">
        <v>380</v>
      </c>
      <c r="N40" s="17" t="s">
        <v>381</v>
      </c>
      <c r="O40" s="17" t="s">
        <v>382</v>
      </c>
      <c r="P40" s="17" t="s">
        <v>14</v>
      </c>
    </row>
    <row r="41" customFormat="false" ht="23.85" hidden="false" customHeight="false" outlineLevel="0" collapsed="false">
      <c r="A41" s="18" t="s">
        <v>357</v>
      </c>
      <c r="B41" s="18" t="n">
        <v>3</v>
      </c>
      <c r="C41" s="18" t="s">
        <v>383</v>
      </c>
      <c r="D41" s="18" t="s">
        <v>384</v>
      </c>
      <c r="E41" s="18" t="s">
        <v>385</v>
      </c>
      <c r="F41" s="18" t="s">
        <v>386</v>
      </c>
      <c r="G41" s="18" t="s">
        <v>387</v>
      </c>
      <c r="H41" s="18" t="s">
        <v>374</v>
      </c>
      <c r="I41" s="18" t="s">
        <v>136</v>
      </c>
      <c r="J41" s="18" t="s">
        <v>103</v>
      </c>
      <c r="K41" s="18" t="s">
        <v>137</v>
      </c>
      <c r="L41" s="18" t="s">
        <v>181</v>
      </c>
      <c r="M41" s="18" t="s">
        <v>388</v>
      </c>
      <c r="N41" s="18" t="s">
        <v>389</v>
      </c>
      <c r="O41" s="18" t="s">
        <v>390</v>
      </c>
      <c r="P41" s="18" t="s">
        <v>14</v>
      </c>
    </row>
    <row r="42" customFormat="false" ht="23.85" hidden="false" customHeight="false" outlineLevel="0" collapsed="false">
      <c r="A42" s="17" t="s">
        <v>357</v>
      </c>
      <c r="B42" s="17" t="n">
        <v>3</v>
      </c>
      <c r="C42" s="17" t="s">
        <v>391</v>
      </c>
      <c r="D42" s="17" t="s">
        <v>392</v>
      </c>
      <c r="E42" s="17" t="s">
        <v>393</v>
      </c>
      <c r="F42" s="17" t="s">
        <v>394</v>
      </c>
      <c r="G42" s="17" t="s">
        <v>395</v>
      </c>
      <c r="H42" s="17" t="s">
        <v>374</v>
      </c>
      <c r="I42" s="17" t="s">
        <v>136</v>
      </c>
      <c r="J42" s="17" t="s">
        <v>103</v>
      </c>
      <c r="K42" s="17" t="s">
        <v>137</v>
      </c>
      <c r="L42" s="17" t="s">
        <v>379</v>
      </c>
      <c r="M42" s="17" t="s">
        <v>396</v>
      </c>
      <c r="N42" s="17" t="s">
        <v>397</v>
      </c>
      <c r="O42" s="17" t="s">
        <v>398</v>
      </c>
      <c r="P42" s="17" t="s">
        <v>14</v>
      </c>
    </row>
    <row r="43" customFormat="false" ht="23.85" hidden="false" customHeight="false" outlineLevel="0" collapsed="false">
      <c r="A43" s="18" t="s">
        <v>357</v>
      </c>
      <c r="B43" s="18" t="n">
        <v>3</v>
      </c>
      <c r="C43" s="18" t="s">
        <v>399</v>
      </c>
      <c r="D43" s="18" t="s">
        <v>400</v>
      </c>
      <c r="E43" s="18" t="s">
        <v>401</v>
      </c>
      <c r="F43" s="18" t="s">
        <v>402</v>
      </c>
      <c r="G43" s="18" t="s">
        <v>403</v>
      </c>
      <c r="H43" s="18" t="s">
        <v>374</v>
      </c>
      <c r="I43" s="18" t="s">
        <v>172</v>
      </c>
      <c r="J43" s="18" t="s">
        <v>103</v>
      </c>
      <c r="K43" s="18" t="s">
        <v>137</v>
      </c>
      <c r="L43" s="18" t="s">
        <v>181</v>
      </c>
      <c r="M43" s="18" t="s">
        <v>404</v>
      </c>
      <c r="N43" s="18" t="s">
        <v>405</v>
      </c>
      <c r="O43" s="18" t="s">
        <v>406</v>
      </c>
      <c r="P43" s="18" t="s">
        <v>14</v>
      </c>
    </row>
    <row r="44" customFormat="false" ht="23.85" hidden="false" customHeight="false" outlineLevel="0" collapsed="false">
      <c r="A44" s="17" t="s">
        <v>357</v>
      </c>
      <c r="B44" s="17" t="n">
        <v>3</v>
      </c>
      <c r="C44" s="17" t="s">
        <v>407</v>
      </c>
      <c r="D44" s="17" t="s">
        <v>408</v>
      </c>
      <c r="E44" s="17" t="s">
        <v>409</v>
      </c>
      <c r="F44" s="17" t="s">
        <v>410</v>
      </c>
      <c r="G44" s="17" t="s">
        <v>411</v>
      </c>
      <c r="H44" s="17" t="s">
        <v>374</v>
      </c>
      <c r="I44" s="17" t="s">
        <v>136</v>
      </c>
      <c r="J44" s="17" t="s">
        <v>103</v>
      </c>
      <c r="K44" s="17" t="s">
        <v>137</v>
      </c>
      <c r="L44" s="17" t="s">
        <v>181</v>
      </c>
      <c r="M44" s="17" t="s">
        <v>412</v>
      </c>
      <c r="N44" s="17" t="s">
        <v>413</v>
      </c>
      <c r="O44" s="17" t="s">
        <v>414</v>
      </c>
      <c r="P44" s="17" t="s">
        <v>14</v>
      </c>
    </row>
    <row r="45" customFormat="false" ht="23.85" hidden="false" customHeight="false" outlineLevel="0" collapsed="false">
      <c r="A45" s="18" t="s">
        <v>357</v>
      </c>
      <c r="B45" s="18" t="n">
        <v>3</v>
      </c>
      <c r="C45" s="18" t="s">
        <v>415</v>
      </c>
      <c r="D45" s="18" t="s">
        <v>416</v>
      </c>
      <c r="E45" s="18" t="s">
        <v>417</v>
      </c>
      <c r="F45" s="18" t="s">
        <v>418</v>
      </c>
      <c r="G45" s="18" t="s">
        <v>419</v>
      </c>
      <c r="H45" s="18" t="s">
        <v>374</v>
      </c>
      <c r="I45" s="18" t="s">
        <v>172</v>
      </c>
      <c r="J45" s="18" t="s">
        <v>103</v>
      </c>
      <c r="K45" s="18" t="s">
        <v>137</v>
      </c>
      <c r="L45" s="18" t="s">
        <v>181</v>
      </c>
      <c r="M45" s="18" t="s">
        <v>420</v>
      </c>
      <c r="N45" s="18" t="s">
        <v>421</v>
      </c>
      <c r="O45" s="18" t="s">
        <v>422</v>
      </c>
      <c r="P45" s="18" t="s">
        <v>14</v>
      </c>
    </row>
    <row r="46" customFormat="false" ht="23.85" hidden="false" customHeight="false" outlineLevel="0" collapsed="false">
      <c r="A46" s="17" t="s">
        <v>357</v>
      </c>
      <c r="B46" s="17" t="n">
        <v>3</v>
      </c>
      <c r="C46" s="17" t="s">
        <v>423</v>
      </c>
      <c r="D46" s="17" t="s">
        <v>424</v>
      </c>
      <c r="E46" s="17" t="s">
        <v>425</v>
      </c>
      <c r="F46" s="17" t="s">
        <v>426</v>
      </c>
      <c r="G46" s="17" t="s">
        <v>427</v>
      </c>
      <c r="H46" s="17" t="s">
        <v>428</v>
      </c>
      <c r="I46" s="17" t="s">
        <v>136</v>
      </c>
      <c r="J46" s="17" t="s">
        <v>103</v>
      </c>
      <c r="K46" s="17" t="s">
        <v>137</v>
      </c>
      <c r="L46" s="17" t="s">
        <v>181</v>
      </c>
      <c r="M46" s="17" t="s">
        <v>429</v>
      </c>
      <c r="N46" s="17" t="s">
        <v>430</v>
      </c>
      <c r="O46" s="17" t="s">
        <v>431</v>
      </c>
      <c r="P46" s="17" t="s">
        <v>14</v>
      </c>
    </row>
    <row r="47" customFormat="false" ht="23.85" hidden="false" customHeight="false" outlineLevel="0" collapsed="false">
      <c r="A47" s="18" t="s">
        <v>357</v>
      </c>
      <c r="B47" s="18" t="n">
        <v>3</v>
      </c>
      <c r="C47" s="18" t="s">
        <v>432</v>
      </c>
      <c r="D47" s="18" t="s">
        <v>433</v>
      </c>
      <c r="E47" s="18" t="s">
        <v>434</v>
      </c>
      <c r="F47" s="18" t="s">
        <v>435</v>
      </c>
      <c r="G47" s="18" t="s">
        <v>436</v>
      </c>
      <c r="H47" s="18" t="s">
        <v>374</v>
      </c>
      <c r="I47" s="18" t="s">
        <v>274</v>
      </c>
      <c r="J47" s="18" t="s">
        <v>103</v>
      </c>
      <c r="K47" s="18" t="s">
        <v>137</v>
      </c>
      <c r="L47" s="18" t="s">
        <v>147</v>
      </c>
      <c r="M47" s="18" t="s">
        <v>437</v>
      </c>
      <c r="N47" s="18" t="s">
        <v>438</v>
      </c>
      <c r="O47" s="18" t="s">
        <v>439</v>
      </c>
      <c r="P47" s="18" t="s">
        <v>14</v>
      </c>
    </row>
    <row r="48" customFormat="false" ht="15" hidden="false" customHeight="false" outlineLevel="0" collapsed="false">
      <c r="A48" s="17" t="s">
        <v>357</v>
      </c>
      <c r="B48" s="17" t="n">
        <v>3</v>
      </c>
      <c r="C48" s="17" t="s">
        <v>440</v>
      </c>
      <c r="D48" s="17" t="s">
        <v>441</v>
      </c>
      <c r="E48" s="17" t="s">
        <v>442</v>
      </c>
      <c r="F48" s="17" t="s">
        <v>443</v>
      </c>
      <c r="G48" s="17" t="s">
        <v>444</v>
      </c>
      <c r="H48" s="17" t="s">
        <v>445</v>
      </c>
      <c r="I48" s="17" t="s">
        <v>172</v>
      </c>
      <c r="J48" s="17" t="s">
        <v>103</v>
      </c>
      <c r="K48" s="17" t="s">
        <v>137</v>
      </c>
      <c r="L48" s="17" t="s">
        <v>379</v>
      </c>
      <c r="M48" s="17" t="s">
        <v>446</v>
      </c>
      <c r="N48" s="17" t="s">
        <v>447</v>
      </c>
      <c r="O48" s="17"/>
      <c r="P48" s="17" t="s">
        <v>16</v>
      </c>
    </row>
    <row r="49" customFormat="false" ht="23.85" hidden="false" customHeight="false" outlineLevel="0" collapsed="false">
      <c r="A49" s="18" t="s">
        <v>448</v>
      </c>
      <c r="B49" s="18" t="n">
        <v>4</v>
      </c>
      <c r="C49" s="18" t="s">
        <v>449</v>
      </c>
      <c r="D49" s="18" t="s">
        <v>450</v>
      </c>
      <c r="E49" s="18" t="s">
        <v>451</v>
      </c>
      <c r="F49" s="18" t="s">
        <v>452</v>
      </c>
      <c r="G49" s="18" t="s">
        <v>453</v>
      </c>
      <c r="H49" s="18" t="s">
        <v>302</v>
      </c>
      <c r="I49" s="18" t="s">
        <v>136</v>
      </c>
      <c r="J49" s="18" t="s">
        <v>103</v>
      </c>
      <c r="K49" s="18" t="s">
        <v>137</v>
      </c>
      <c r="L49" s="18" t="s">
        <v>379</v>
      </c>
      <c r="M49" s="18" t="s">
        <v>454</v>
      </c>
      <c r="N49" s="18" t="s">
        <v>455</v>
      </c>
      <c r="O49" s="18" t="s">
        <v>456</v>
      </c>
      <c r="P49" s="18" t="s">
        <v>14</v>
      </c>
    </row>
    <row r="50" customFormat="false" ht="15" hidden="false" customHeight="false" outlineLevel="0" collapsed="false">
      <c r="A50" s="17" t="s">
        <v>448</v>
      </c>
      <c r="B50" s="17" t="n">
        <v>4</v>
      </c>
      <c r="C50" s="17" t="s">
        <v>457</v>
      </c>
      <c r="D50" s="17" t="s">
        <v>458</v>
      </c>
      <c r="E50" s="17" t="s">
        <v>459</v>
      </c>
      <c r="F50" s="17" t="s">
        <v>460</v>
      </c>
      <c r="G50" s="17" t="s">
        <v>461</v>
      </c>
      <c r="H50" s="17" t="s">
        <v>449</v>
      </c>
      <c r="I50" s="17" t="s">
        <v>136</v>
      </c>
      <c r="J50" s="17" t="s">
        <v>103</v>
      </c>
      <c r="K50" s="17" t="s">
        <v>137</v>
      </c>
      <c r="L50" s="17" t="s">
        <v>147</v>
      </c>
      <c r="M50" s="17" t="s">
        <v>462</v>
      </c>
      <c r="N50" s="17" t="s">
        <v>463</v>
      </c>
      <c r="O50" s="17"/>
      <c r="P50" s="17" t="s">
        <v>16</v>
      </c>
    </row>
    <row r="51" customFormat="false" ht="23.85" hidden="false" customHeight="false" outlineLevel="0" collapsed="false">
      <c r="A51" s="18" t="s">
        <v>448</v>
      </c>
      <c r="B51" s="18" t="n">
        <v>4</v>
      </c>
      <c r="C51" s="18" t="s">
        <v>464</v>
      </c>
      <c r="D51" s="18" t="s">
        <v>465</v>
      </c>
      <c r="E51" s="18" t="s">
        <v>466</v>
      </c>
      <c r="F51" s="18" t="s">
        <v>467</v>
      </c>
      <c r="G51" s="18" t="s">
        <v>468</v>
      </c>
      <c r="H51" s="18" t="s">
        <v>449</v>
      </c>
      <c r="I51" s="18" t="s">
        <v>136</v>
      </c>
      <c r="J51" s="18" t="s">
        <v>103</v>
      </c>
      <c r="K51" s="18" t="s">
        <v>137</v>
      </c>
      <c r="L51" s="18" t="s">
        <v>147</v>
      </c>
      <c r="M51" s="18" t="s">
        <v>469</v>
      </c>
      <c r="N51" s="18" t="s">
        <v>470</v>
      </c>
      <c r="O51" s="18" t="s">
        <v>471</v>
      </c>
      <c r="P51" s="18" t="s">
        <v>14</v>
      </c>
    </row>
    <row r="52" customFormat="false" ht="23.85" hidden="false" customHeight="false" outlineLevel="0" collapsed="false">
      <c r="A52" s="17" t="s">
        <v>448</v>
      </c>
      <c r="B52" s="17" t="n">
        <v>4</v>
      </c>
      <c r="C52" s="17" t="s">
        <v>472</v>
      </c>
      <c r="D52" s="17" t="s">
        <v>473</v>
      </c>
      <c r="E52" s="17" t="s">
        <v>474</v>
      </c>
      <c r="F52" s="17" t="s">
        <v>475</v>
      </c>
      <c r="G52" s="17" t="s">
        <v>476</v>
      </c>
      <c r="H52" s="17" t="s">
        <v>449</v>
      </c>
      <c r="I52" s="17" t="s">
        <v>136</v>
      </c>
      <c r="J52" s="17" t="s">
        <v>103</v>
      </c>
      <c r="K52" s="17" t="s">
        <v>137</v>
      </c>
      <c r="L52" s="17" t="s">
        <v>181</v>
      </c>
      <c r="M52" s="17" t="s">
        <v>477</v>
      </c>
      <c r="N52" s="17" t="s">
        <v>478</v>
      </c>
      <c r="O52" s="17" t="s">
        <v>479</v>
      </c>
      <c r="P52" s="17" t="s">
        <v>14</v>
      </c>
    </row>
    <row r="53" customFormat="false" ht="15" hidden="false" customHeight="false" outlineLevel="0" collapsed="false">
      <c r="A53" s="18" t="s">
        <v>448</v>
      </c>
      <c r="B53" s="18" t="n">
        <v>4</v>
      </c>
      <c r="C53" s="18" t="s">
        <v>480</v>
      </c>
      <c r="D53" s="18" t="s">
        <v>481</v>
      </c>
      <c r="E53" s="18" t="s">
        <v>482</v>
      </c>
      <c r="F53" s="18" t="s">
        <v>483</v>
      </c>
      <c r="G53" s="18" t="s">
        <v>484</v>
      </c>
      <c r="H53" s="18" t="s">
        <v>449</v>
      </c>
      <c r="I53" s="18" t="s">
        <v>172</v>
      </c>
      <c r="J53" s="18" t="s">
        <v>103</v>
      </c>
      <c r="K53" s="18" t="s">
        <v>137</v>
      </c>
      <c r="L53" s="18" t="s">
        <v>147</v>
      </c>
      <c r="M53" s="18" t="s">
        <v>485</v>
      </c>
      <c r="N53" s="18" t="s">
        <v>486</v>
      </c>
      <c r="O53" s="18"/>
      <c r="P53" s="18" t="s">
        <v>16</v>
      </c>
    </row>
    <row r="54" customFormat="false" ht="23.85" hidden="false" customHeight="false" outlineLevel="0" collapsed="false">
      <c r="A54" s="17" t="s">
        <v>448</v>
      </c>
      <c r="B54" s="17" t="n">
        <v>4</v>
      </c>
      <c r="C54" s="17" t="s">
        <v>487</v>
      </c>
      <c r="D54" s="17" t="s">
        <v>488</v>
      </c>
      <c r="E54" s="17" t="s">
        <v>489</v>
      </c>
      <c r="F54" s="17" t="s">
        <v>490</v>
      </c>
      <c r="G54" s="17" t="s">
        <v>491</v>
      </c>
      <c r="H54" s="17" t="s">
        <v>449</v>
      </c>
      <c r="I54" s="17" t="s">
        <v>172</v>
      </c>
      <c r="J54" s="17" t="s">
        <v>103</v>
      </c>
      <c r="K54" s="17" t="s">
        <v>137</v>
      </c>
      <c r="L54" s="17" t="s">
        <v>147</v>
      </c>
      <c r="M54" s="17" t="s">
        <v>492</v>
      </c>
      <c r="N54" s="17" t="s">
        <v>493</v>
      </c>
      <c r="O54" s="17" t="s">
        <v>494</v>
      </c>
      <c r="P54" s="17" t="s">
        <v>14</v>
      </c>
    </row>
    <row r="55" customFormat="false" ht="15" hidden="false" customHeight="false" outlineLevel="0" collapsed="false">
      <c r="A55" s="18" t="s">
        <v>448</v>
      </c>
      <c r="B55" s="18" t="n">
        <v>4</v>
      </c>
      <c r="C55" s="18" t="s">
        <v>495</v>
      </c>
      <c r="D55" s="18" t="s">
        <v>496</v>
      </c>
      <c r="E55" s="18" t="s">
        <v>497</v>
      </c>
      <c r="F55" s="18" t="s">
        <v>498</v>
      </c>
      <c r="G55" s="18" t="s">
        <v>499</v>
      </c>
      <c r="H55" s="18" t="s">
        <v>278</v>
      </c>
      <c r="I55" s="18" t="s">
        <v>172</v>
      </c>
      <c r="J55" s="18" t="s">
        <v>103</v>
      </c>
      <c r="K55" s="18" t="s">
        <v>137</v>
      </c>
      <c r="L55" s="18" t="s">
        <v>147</v>
      </c>
      <c r="M55" s="18" t="s">
        <v>500</v>
      </c>
      <c r="N55" s="18" t="s">
        <v>501</v>
      </c>
      <c r="O55" s="18"/>
      <c r="P55" s="18" t="s">
        <v>16</v>
      </c>
    </row>
    <row r="56" customFormat="false" ht="15" hidden="false" customHeight="false" outlineLevel="0" collapsed="false">
      <c r="A56" s="17" t="s">
        <v>448</v>
      </c>
      <c r="B56" s="17" t="n">
        <v>4</v>
      </c>
      <c r="C56" s="17" t="s">
        <v>502</v>
      </c>
      <c r="D56" s="17" t="s">
        <v>503</v>
      </c>
      <c r="E56" s="17" t="s">
        <v>504</v>
      </c>
      <c r="F56" s="17" t="s">
        <v>505</v>
      </c>
      <c r="G56" s="17" t="s">
        <v>506</v>
      </c>
      <c r="H56" s="17" t="s">
        <v>495</v>
      </c>
      <c r="I56" s="17" t="s">
        <v>172</v>
      </c>
      <c r="J56" s="17" t="s">
        <v>103</v>
      </c>
      <c r="K56" s="17" t="s">
        <v>137</v>
      </c>
      <c r="L56" s="17" t="s">
        <v>147</v>
      </c>
      <c r="M56" s="17" t="s">
        <v>507</v>
      </c>
      <c r="N56" s="17" t="s">
        <v>508</v>
      </c>
      <c r="O56" s="17"/>
      <c r="P56" s="17" t="s">
        <v>16</v>
      </c>
    </row>
    <row r="57" customFormat="false" ht="15" hidden="false" customHeight="false" outlineLevel="0" collapsed="false">
      <c r="A57" s="18" t="s">
        <v>448</v>
      </c>
      <c r="B57" s="18" t="n">
        <v>4</v>
      </c>
      <c r="C57" s="18" t="s">
        <v>509</v>
      </c>
      <c r="D57" s="18" t="s">
        <v>510</v>
      </c>
      <c r="E57" s="18" t="s">
        <v>511</v>
      </c>
      <c r="F57" s="18" t="s">
        <v>512</v>
      </c>
      <c r="G57" s="18" t="s">
        <v>513</v>
      </c>
      <c r="H57" s="18" t="s">
        <v>495</v>
      </c>
      <c r="I57" s="18" t="s">
        <v>172</v>
      </c>
      <c r="J57" s="18" t="s">
        <v>103</v>
      </c>
      <c r="K57" s="18" t="s">
        <v>137</v>
      </c>
      <c r="L57" s="18" t="s">
        <v>147</v>
      </c>
      <c r="M57" s="18" t="s">
        <v>514</v>
      </c>
      <c r="N57" s="18" t="s">
        <v>515</v>
      </c>
      <c r="O57" s="18" t="s">
        <v>516</v>
      </c>
      <c r="P57" s="18" t="s">
        <v>16</v>
      </c>
    </row>
    <row r="58" customFormat="false" ht="23.85" hidden="false" customHeight="false" outlineLevel="0" collapsed="false">
      <c r="A58" s="17" t="s">
        <v>448</v>
      </c>
      <c r="B58" s="17" t="n">
        <v>4</v>
      </c>
      <c r="C58" s="17" t="s">
        <v>517</v>
      </c>
      <c r="D58" s="17" t="s">
        <v>518</v>
      </c>
      <c r="E58" s="17" t="s">
        <v>519</v>
      </c>
      <c r="F58" s="17" t="s">
        <v>520</v>
      </c>
      <c r="G58" s="17" t="s">
        <v>521</v>
      </c>
      <c r="H58" s="17" t="s">
        <v>341</v>
      </c>
      <c r="I58" s="17" t="s">
        <v>172</v>
      </c>
      <c r="J58" s="17" t="s">
        <v>103</v>
      </c>
      <c r="K58" s="17" t="s">
        <v>137</v>
      </c>
      <c r="L58" s="17" t="s">
        <v>181</v>
      </c>
      <c r="M58" s="17" t="s">
        <v>522</v>
      </c>
      <c r="N58" s="17" t="s">
        <v>523</v>
      </c>
      <c r="O58" s="17" t="s">
        <v>524</v>
      </c>
      <c r="P58" s="17" t="s">
        <v>14</v>
      </c>
    </row>
    <row r="59" customFormat="false" ht="23.85" hidden="false" customHeight="false" outlineLevel="0" collapsed="false">
      <c r="A59" s="18" t="s">
        <v>448</v>
      </c>
      <c r="B59" s="18" t="n">
        <v>4</v>
      </c>
      <c r="C59" s="18" t="s">
        <v>525</v>
      </c>
      <c r="D59" s="18" t="s">
        <v>526</v>
      </c>
      <c r="E59" s="18" t="s">
        <v>527</v>
      </c>
      <c r="F59" s="18" t="s">
        <v>528</v>
      </c>
      <c r="G59" s="18" t="s">
        <v>529</v>
      </c>
      <c r="H59" s="18" t="s">
        <v>495</v>
      </c>
      <c r="I59" s="18" t="s">
        <v>172</v>
      </c>
      <c r="J59" s="18" t="s">
        <v>103</v>
      </c>
      <c r="K59" s="18" t="s">
        <v>137</v>
      </c>
      <c r="L59" s="18" t="s">
        <v>181</v>
      </c>
      <c r="M59" s="18" t="s">
        <v>530</v>
      </c>
      <c r="N59" s="18" t="s">
        <v>531</v>
      </c>
      <c r="O59" s="18" t="s">
        <v>532</v>
      </c>
      <c r="P59" s="18" t="s">
        <v>16</v>
      </c>
    </row>
    <row r="60" customFormat="false" ht="35.05" hidden="false" customHeight="false" outlineLevel="0" collapsed="false">
      <c r="A60" s="17" t="s">
        <v>533</v>
      </c>
      <c r="B60" s="17" t="n">
        <v>5</v>
      </c>
      <c r="C60" s="17" t="s">
        <v>534</v>
      </c>
      <c r="D60" s="17" t="s">
        <v>535</v>
      </c>
      <c r="E60" s="17" t="s">
        <v>536</v>
      </c>
      <c r="F60" s="17" t="s">
        <v>537</v>
      </c>
      <c r="G60" s="17" t="s">
        <v>538</v>
      </c>
      <c r="H60" s="17" t="s">
        <v>176</v>
      </c>
      <c r="I60" s="17" t="s">
        <v>136</v>
      </c>
      <c r="J60" s="17" t="s">
        <v>103</v>
      </c>
      <c r="K60" s="17" t="s">
        <v>137</v>
      </c>
      <c r="L60" s="17" t="s">
        <v>181</v>
      </c>
      <c r="M60" s="17" t="s">
        <v>539</v>
      </c>
      <c r="N60" s="17" t="s">
        <v>540</v>
      </c>
      <c r="O60" s="17" t="s">
        <v>541</v>
      </c>
      <c r="P60" s="17" t="s">
        <v>18</v>
      </c>
    </row>
    <row r="61" customFormat="false" ht="23.85" hidden="false" customHeight="false" outlineLevel="0" collapsed="false">
      <c r="A61" s="18" t="s">
        <v>533</v>
      </c>
      <c r="B61" s="18" t="n">
        <v>5</v>
      </c>
      <c r="C61" s="18" t="s">
        <v>542</v>
      </c>
      <c r="D61" s="18" t="s">
        <v>543</v>
      </c>
      <c r="E61" s="18" t="s">
        <v>544</v>
      </c>
      <c r="F61" s="18" t="s">
        <v>545</v>
      </c>
      <c r="G61" s="18" t="s">
        <v>546</v>
      </c>
      <c r="H61" s="18" t="s">
        <v>449</v>
      </c>
      <c r="I61" s="18" t="s">
        <v>136</v>
      </c>
      <c r="J61" s="18" t="s">
        <v>103</v>
      </c>
      <c r="K61" s="18" t="s">
        <v>137</v>
      </c>
      <c r="L61" s="18" t="s">
        <v>181</v>
      </c>
      <c r="M61" s="18" t="s">
        <v>547</v>
      </c>
      <c r="N61" s="18" t="s">
        <v>548</v>
      </c>
      <c r="O61" s="18" t="s">
        <v>549</v>
      </c>
      <c r="P61" s="18" t="s">
        <v>14</v>
      </c>
    </row>
    <row r="62" customFormat="false" ht="23.85" hidden="false" customHeight="false" outlineLevel="0" collapsed="false">
      <c r="A62" s="17" t="s">
        <v>533</v>
      </c>
      <c r="B62" s="17" t="n">
        <v>5</v>
      </c>
      <c r="C62" s="17" t="s">
        <v>550</v>
      </c>
      <c r="D62" s="17" t="s">
        <v>551</v>
      </c>
      <c r="E62" s="17" t="s">
        <v>552</v>
      </c>
      <c r="F62" s="17" t="s">
        <v>553</v>
      </c>
      <c r="G62" s="17" t="s">
        <v>554</v>
      </c>
      <c r="H62" s="17" t="s">
        <v>555</v>
      </c>
      <c r="I62" s="17" t="s">
        <v>136</v>
      </c>
      <c r="J62" s="17" t="s">
        <v>103</v>
      </c>
      <c r="K62" s="17" t="s">
        <v>137</v>
      </c>
      <c r="L62" s="17" t="s">
        <v>181</v>
      </c>
      <c r="M62" s="17" t="s">
        <v>556</v>
      </c>
      <c r="N62" s="17" t="s">
        <v>557</v>
      </c>
      <c r="O62" s="17"/>
      <c r="P62" s="17" t="s">
        <v>14</v>
      </c>
    </row>
    <row r="63" customFormat="false" ht="23.85" hidden="false" customHeight="false" outlineLevel="0" collapsed="false">
      <c r="A63" s="18" t="s">
        <v>533</v>
      </c>
      <c r="B63" s="18" t="n">
        <v>5</v>
      </c>
      <c r="C63" s="18" t="s">
        <v>558</v>
      </c>
      <c r="D63" s="18" t="s">
        <v>559</v>
      </c>
      <c r="E63" s="18" t="s">
        <v>560</v>
      </c>
      <c r="F63" s="18" t="s">
        <v>561</v>
      </c>
      <c r="G63" s="18" t="s">
        <v>562</v>
      </c>
      <c r="H63" s="18" t="s">
        <v>550</v>
      </c>
      <c r="I63" s="18" t="s">
        <v>136</v>
      </c>
      <c r="J63" s="18" t="s">
        <v>103</v>
      </c>
      <c r="K63" s="18" t="s">
        <v>137</v>
      </c>
      <c r="L63" s="18" t="s">
        <v>147</v>
      </c>
      <c r="M63" s="18" t="s">
        <v>563</v>
      </c>
      <c r="N63" s="18" t="s">
        <v>564</v>
      </c>
      <c r="O63" s="18" t="s">
        <v>565</v>
      </c>
      <c r="P63" s="18" t="s">
        <v>14</v>
      </c>
    </row>
    <row r="64" customFormat="false" ht="15" hidden="false" customHeight="false" outlineLevel="0" collapsed="false">
      <c r="A64" s="17" t="s">
        <v>533</v>
      </c>
      <c r="B64" s="17" t="n">
        <v>5</v>
      </c>
      <c r="C64" s="17" t="s">
        <v>566</v>
      </c>
      <c r="D64" s="17" t="s">
        <v>567</v>
      </c>
      <c r="E64" s="17" t="s">
        <v>568</v>
      </c>
      <c r="F64" s="17" t="s">
        <v>569</v>
      </c>
      <c r="G64" s="17" t="s">
        <v>570</v>
      </c>
      <c r="H64" s="17" t="s">
        <v>550</v>
      </c>
      <c r="I64" s="17" t="s">
        <v>136</v>
      </c>
      <c r="J64" s="17" t="s">
        <v>103</v>
      </c>
      <c r="K64" s="17" t="s">
        <v>137</v>
      </c>
      <c r="L64" s="17" t="s">
        <v>181</v>
      </c>
      <c r="M64" s="17" t="s">
        <v>571</v>
      </c>
      <c r="N64" s="17" t="s">
        <v>572</v>
      </c>
      <c r="O64" s="17" t="s">
        <v>573</v>
      </c>
      <c r="P64" s="17" t="s">
        <v>16</v>
      </c>
    </row>
    <row r="65" customFormat="false" ht="15" hidden="false" customHeight="false" outlineLevel="0" collapsed="false">
      <c r="A65" s="18" t="s">
        <v>533</v>
      </c>
      <c r="B65" s="18" t="n">
        <v>5</v>
      </c>
      <c r="C65" s="18" t="s">
        <v>574</v>
      </c>
      <c r="D65" s="18" t="s">
        <v>575</v>
      </c>
      <c r="E65" s="18" t="s">
        <v>576</v>
      </c>
      <c r="F65" s="18" t="s">
        <v>577</v>
      </c>
      <c r="G65" s="18" t="s">
        <v>578</v>
      </c>
      <c r="H65" s="18" t="s">
        <v>566</v>
      </c>
      <c r="I65" s="18" t="s">
        <v>136</v>
      </c>
      <c r="J65" s="18" t="s">
        <v>103</v>
      </c>
      <c r="K65" s="18" t="s">
        <v>137</v>
      </c>
      <c r="L65" s="18" t="s">
        <v>181</v>
      </c>
      <c r="M65" s="18" t="s">
        <v>579</v>
      </c>
      <c r="N65" s="18" t="s">
        <v>580</v>
      </c>
      <c r="O65" s="18"/>
      <c r="P65" s="18" t="s">
        <v>16</v>
      </c>
    </row>
    <row r="66" customFormat="false" ht="23.85" hidden="false" customHeight="false" outlineLevel="0" collapsed="false">
      <c r="A66" s="17" t="s">
        <v>533</v>
      </c>
      <c r="B66" s="17" t="n">
        <v>5</v>
      </c>
      <c r="C66" s="17" t="s">
        <v>581</v>
      </c>
      <c r="D66" s="17" t="s">
        <v>582</v>
      </c>
      <c r="E66" s="17" t="s">
        <v>583</v>
      </c>
      <c r="F66" s="17" t="s">
        <v>584</v>
      </c>
      <c r="G66" s="17" t="s">
        <v>585</v>
      </c>
      <c r="H66" s="17" t="s">
        <v>566</v>
      </c>
      <c r="I66" s="17" t="s">
        <v>172</v>
      </c>
      <c r="J66" s="17" t="s">
        <v>103</v>
      </c>
      <c r="K66" s="17" t="s">
        <v>137</v>
      </c>
      <c r="L66" s="17" t="s">
        <v>181</v>
      </c>
      <c r="M66" s="17" t="s">
        <v>586</v>
      </c>
      <c r="N66" s="17" t="s">
        <v>587</v>
      </c>
      <c r="O66" s="17" t="s">
        <v>588</v>
      </c>
      <c r="P66" s="17" t="s">
        <v>14</v>
      </c>
    </row>
    <row r="67" customFormat="false" ht="23.85" hidden="false" customHeight="false" outlineLevel="0" collapsed="false">
      <c r="A67" s="18" t="s">
        <v>533</v>
      </c>
      <c r="B67" s="18" t="n">
        <v>5</v>
      </c>
      <c r="C67" s="18" t="s">
        <v>589</v>
      </c>
      <c r="D67" s="18" t="s">
        <v>590</v>
      </c>
      <c r="E67" s="18" t="s">
        <v>591</v>
      </c>
      <c r="F67" s="18" t="s">
        <v>592</v>
      </c>
      <c r="G67" s="18" t="s">
        <v>593</v>
      </c>
      <c r="H67" s="18" t="s">
        <v>594</v>
      </c>
      <c r="I67" s="18" t="s">
        <v>136</v>
      </c>
      <c r="J67" s="18" t="s">
        <v>103</v>
      </c>
      <c r="K67" s="18" t="s">
        <v>137</v>
      </c>
      <c r="L67" s="18" t="s">
        <v>181</v>
      </c>
      <c r="M67" s="18" t="s">
        <v>595</v>
      </c>
      <c r="N67" s="18" t="s">
        <v>596</v>
      </c>
      <c r="O67" s="18" t="s">
        <v>597</v>
      </c>
      <c r="P67" s="18" t="s">
        <v>14</v>
      </c>
    </row>
    <row r="68" customFormat="false" ht="23.85" hidden="false" customHeight="false" outlineLevel="0" collapsed="false">
      <c r="A68" s="17" t="s">
        <v>533</v>
      </c>
      <c r="B68" s="17" t="n">
        <v>5</v>
      </c>
      <c r="C68" s="17" t="s">
        <v>598</v>
      </c>
      <c r="D68" s="17" t="s">
        <v>599</v>
      </c>
      <c r="E68" s="17" t="s">
        <v>600</v>
      </c>
      <c r="F68" s="17" t="s">
        <v>601</v>
      </c>
      <c r="G68" s="17" t="s">
        <v>602</v>
      </c>
      <c r="H68" s="17" t="s">
        <v>603</v>
      </c>
      <c r="I68" s="17" t="s">
        <v>172</v>
      </c>
      <c r="J68" s="17" t="s">
        <v>103</v>
      </c>
      <c r="K68" s="17" t="s">
        <v>137</v>
      </c>
      <c r="L68" s="17" t="s">
        <v>181</v>
      </c>
      <c r="M68" s="17" t="s">
        <v>604</v>
      </c>
      <c r="N68" s="17" t="s">
        <v>605</v>
      </c>
      <c r="O68" s="17" t="s">
        <v>606</v>
      </c>
      <c r="P68" s="17" t="s">
        <v>14</v>
      </c>
    </row>
    <row r="69" customFormat="false" ht="23.85" hidden="false" customHeight="false" outlineLevel="0" collapsed="false">
      <c r="A69" s="18" t="s">
        <v>607</v>
      </c>
      <c r="B69" s="18" t="n">
        <v>6</v>
      </c>
      <c r="C69" s="18" t="s">
        <v>608</v>
      </c>
      <c r="D69" s="18" t="s">
        <v>609</v>
      </c>
      <c r="E69" s="18" t="s">
        <v>610</v>
      </c>
      <c r="F69" s="18" t="s">
        <v>611</v>
      </c>
      <c r="G69" s="18" t="s">
        <v>612</v>
      </c>
      <c r="H69" s="18" t="s">
        <v>449</v>
      </c>
      <c r="I69" s="18" t="s">
        <v>136</v>
      </c>
      <c r="J69" s="18" t="s">
        <v>103</v>
      </c>
      <c r="K69" s="18" t="s">
        <v>137</v>
      </c>
      <c r="L69" s="18" t="s">
        <v>379</v>
      </c>
      <c r="M69" s="18" t="s">
        <v>613</v>
      </c>
      <c r="N69" s="18" t="s">
        <v>614</v>
      </c>
      <c r="O69" s="18" t="s">
        <v>615</v>
      </c>
      <c r="P69" s="18" t="s">
        <v>14</v>
      </c>
    </row>
    <row r="70" customFormat="false" ht="23.85" hidden="false" customHeight="false" outlineLevel="0" collapsed="false">
      <c r="A70" s="17" t="s">
        <v>607</v>
      </c>
      <c r="B70" s="17" t="n">
        <v>6</v>
      </c>
      <c r="C70" s="17" t="s">
        <v>616</v>
      </c>
      <c r="D70" s="17" t="s">
        <v>617</v>
      </c>
      <c r="E70" s="17" t="s">
        <v>618</v>
      </c>
      <c r="F70" s="17" t="s">
        <v>619</v>
      </c>
      <c r="G70" s="17" t="s">
        <v>620</v>
      </c>
      <c r="H70" s="17" t="s">
        <v>621</v>
      </c>
      <c r="I70" s="17" t="s">
        <v>136</v>
      </c>
      <c r="J70" s="17" t="s">
        <v>103</v>
      </c>
      <c r="K70" s="17" t="s">
        <v>137</v>
      </c>
      <c r="L70" s="17" t="s">
        <v>379</v>
      </c>
      <c r="M70" s="17" t="s">
        <v>622</v>
      </c>
      <c r="N70" s="17" t="s">
        <v>623</v>
      </c>
      <c r="O70" s="17" t="s">
        <v>624</v>
      </c>
      <c r="P70" s="17" t="s">
        <v>18</v>
      </c>
    </row>
    <row r="71" customFormat="false" ht="23.85" hidden="false" customHeight="false" outlineLevel="0" collapsed="false">
      <c r="A71" s="18" t="s">
        <v>607</v>
      </c>
      <c r="B71" s="18" t="n">
        <v>6</v>
      </c>
      <c r="C71" s="18" t="s">
        <v>625</v>
      </c>
      <c r="D71" s="18" t="s">
        <v>626</v>
      </c>
      <c r="E71" s="18" t="s">
        <v>627</v>
      </c>
      <c r="F71" s="18" t="s">
        <v>628</v>
      </c>
      <c r="G71" s="18" t="s">
        <v>629</v>
      </c>
      <c r="H71" s="18" t="s">
        <v>608</v>
      </c>
      <c r="I71" s="18" t="s">
        <v>172</v>
      </c>
      <c r="J71" s="18" t="s">
        <v>103</v>
      </c>
      <c r="K71" s="18" t="s">
        <v>137</v>
      </c>
      <c r="L71" s="18" t="s">
        <v>147</v>
      </c>
      <c r="M71" s="18" t="s">
        <v>630</v>
      </c>
      <c r="N71" s="18" t="s">
        <v>631</v>
      </c>
      <c r="O71" s="18" t="s">
        <v>632</v>
      </c>
      <c r="P71" s="18" t="s">
        <v>14</v>
      </c>
    </row>
    <row r="72" customFormat="false" ht="23.85" hidden="false" customHeight="false" outlineLevel="0" collapsed="false">
      <c r="A72" s="17" t="s">
        <v>607</v>
      </c>
      <c r="B72" s="17" t="n">
        <v>6</v>
      </c>
      <c r="C72" s="17" t="s">
        <v>633</v>
      </c>
      <c r="D72" s="17" t="s">
        <v>634</v>
      </c>
      <c r="E72" s="17" t="s">
        <v>635</v>
      </c>
      <c r="F72" s="17" t="s">
        <v>636</v>
      </c>
      <c r="G72" s="17" t="s">
        <v>637</v>
      </c>
      <c r="H72" s="17" t="s">
        <v>638</v>
      </c>
      <c r="I72" s="17" t="s">
        <v>136</v>
      </c>
      <c r="J72" s="17" t="s">
        <v>103</v>
      </c>
      <c r="K72" s="17" t="s">
        <v>137</v>
      </c>
      <c r="L72" s="17" t="s">
        <v>147</v>
      </c>
      <c r="M72" s="17" t="s">
        <v>639</v>
      </c>
      <c r="N72" s="17" t="s">
        <v>640</v>
      </c>
      <c r="O72" s="17"/>
      <c r="P72" s="17" t="s">
        <v>14</v>
      </c>
    </row>
    <row r="73" customFormat="false" ht="23.85" hidden="false" customHeight="false" outlineLevel="0" collapsed="false">
      <c r="A73" s="18" t="s">
        <v>607</v>
      </c>
      <c r="B73" s="18" t="n">
        <v>6</v>
      </c>
      <c r="C73" s="18" t="s">
        <v>641</v>
      </c>
      <c r="D73" s="18" t="s">
        <v>642</v>
      </c>
      <c r="E73" s="18" t="s">
        <v>643</v>
      </c>
      <c r="F73" s="18" t="s">
        <v>644</v>
      </c>
      <c r="G73" s="18" t="s">
        <v>645</v>
      </c>
      <c r="H73" s="18" t="s">
        <v>608</v>
      </c>
      <c r="I73" s="18" t="s">
        <v>136</v>
      </c>
      <c r="J73" s="18" t="s">
        <v>103</v>
      </c>
      <c r="K73" s="18" t="s">
        <v>137</v>
      </c>
      <c r="L73" s="18" t="s">
        <v>181</v>
      </c>
      <c r="M73" s="18" t="s">
        <v>646</v>
      </c>
      <c r="N73" s="18" t="s">
        <v>647</v>
      </c>
      <c r="O73" s="18" t="s">
        <v>648</v>
      </c>
      <c r="P73" s="18" t="s">
        <v>14</v>
      </c>
    </row>
    <row r="74" customFormat="false" ht="23.85" hidden="false" customHeight="false" outlineLevel="0" collapsed="false">
      <c r="A74" s="17" t="s">
        <v>607</v>
      </c>
      <c r="B74" s="17" t="n">
        <v>6</v>
      </c>
      <c r="C74" s="17" t="s">
        <v>649</v>
      </c>
      <c r="D74" s="17" t="s">
        <v>650</v>
      </c>
      <c r="E74" s="17" t="s">
        <v>651</v>
      </c>
      <c r="F74" s="17" t="s">
        <v>652</v>
      </c>
      <c r="G74" s="17" t="s">
        <v>653</v>
      </c>
      <c r="H74" s="17" t="s">
        <v>654</v>
      </c>
      <c r="I74" s="17" t="s">
        <v>136</v>
      </c>
      <c r="J74" s="17" t="s">
        <v>103</v>
      </c>
      <c r="K74" s="17" t="s">
        <v>137</v>
      </c>
      <c r="L74" s="17" t="s">
        <v>181</v>
      </c>
      <c r="M74" s="17" t="s">
        <v>655</v>
      </c>
      <c r="N74" s="17" t="s">
        <v>656</v>
      </c>
      <c r="O74" s="17" t="s">
        <v>657</v>
      </c>
      <c r="P74" s="17" t="s">
        <v>14</v>
      </c>
    </row>
    <row r="75" customFormat="false" ht="23.85" hidden="false" customHeight="false" outlineLevel="0" collapsed="false">
      <c r="A75" s="18" t="s">
        <v>607</v>
      </c>
      <c r="B75" s="18" t="n">
        <v>6</v>
      </c>
      <c r="C75" s="18" t="s">
        <v>658</v>
      </c>
      <c r="D75" s="18" t="s">
        <v>659</v>
      </c>
      <c r="E75" s="18" t="s">
        <v>660</v>
      </c>
      <c r="F75" s="18" t="s">
        <v>661</v>
      </c>
      <c r="G75" s="18" t="s">
        <v>662</v>
      </c>
      <c r="H75" s="18" t="s">
        <v>449</v>
      </c>
      <c r="I75" s="18" t="s">
        <v>172</v>
      </c>
      <c r="J75" s="18" t="s">
        <v>103</v>
      </c>
      <c r="K75" s="18" t="s">
        <v>137</v>
      </c>
      <c r="L75" s="18" t="s">
        <v>181</v>
      </c>
      <c r="M75" s="18" t="s">
        <v>663</v>
      </c>
      <c r="N75" s="18" t="s">
        <v>664</v>
      </c>
      <c r="O75" s="18" t="s">
        <v>665</v>
      </c>
      <c r="P75" s="18" t="s">
        <v>14</v>
      </c>
    </row>
    <row r="76" customFormat="false" ht="23.85" hidden="false" customHeight="false" outlineLevel="0" collapsed="false">
      <c r="A76" s="17" t="s">
        <v>607</v>
      </c>
      <c r="B76" s="17" t="n">
        <v>6</v>
      </c>
      <c r="C76" s="17" t="s">
        <v>666</v>
      </c>
      <c r="D76" s="17" t="s">
        <v>667</v>
      </c>
      <c r="E76" s="17" t="s">
        <v>668</v>
      </c>
      <c r="F76" s="17" t="s">
        <v>669</v>
      </c>
      <c r="G76" s="17" t="s">
        <v>670</v>
      </c>
      <c r="H76" s="17" t="s">
        <v>151</v>
      </c>
      <c r="I76" s="17" t="s">
        <v>136</v>
      </c>
      <c r="J76" s="17" t="s">
        <v>103</v>
      </c>
      <c r="K76" s="17" t="s">
        <v>137</v>
      </c>
      <c r="L76" s="17" t="s">
        <v>181</v>
      </c>
      <c r="M76" s="17" t="s">
        <v>671</v>
      </c>
      <c r="N76" s="17" t="s">
        <v>672</v>
      </c>
      <c r="O76" s="17" t="s">
        <v>673</v>
      </c>
      <c r="P76" s="17" t="s">
        <v>14</v>
      </c>
    </row>
    <row r="77" customFormat="false" ht="23.85" hidden="false" customHeight="false" outlineLevel="0" collapsed="false">
      <c r="A77" s="18" t="s">
        <v>607</v>
      </c>
      <c r="B77" s="18" t="n">
        <v>6</v>
      </c>
      <c r="C77" s="18" t="s">
        <v>674</v>
      </c>
      <c r="D77" s="18" t="s">
        <v>675</v>
      </c>
      <c r="E77" s="18" t="s">
        <v>676</v>
      </c>
      <c r="F77" s="18" t="s">
        <v>677</v>
      </c>
      <c r="G77" s="18" t="s">
        <v>678</v>
      </c>
      <c r="H77" s="18" t="s">
        <v>666</v>
      </c>
      <c r="I77" s="18" t="s">
        <v>172</v>
      </c>
      <c r="J77" s="18" t="s">
        <v>103</v>
      </c>
      <c r="K77" s="18" t="s">
        <v>137</v>
      </c>
      <c r="L77" s="18" t="s">
        <v>147</v>
      </c>
      <c r="M77" s="18" t="s">
        <v>679</v>
      </c>
      <c r="N77" s="18" t="s">
        <v>680</v>
      </c>
      <c r="O77" s="18" t="s">
        <v>681</v>
      </c>
      <c r="P77" s="18" t="s">
        <v>14</v>
      </c>
    </row>
    <row r="78" customFormat="false" ht="23.85" hidden="false" customHeight="false" outlineLevel="0" collapsed="false">
      <c r="A78" s="17" t="s">
        <v>682</v>
      </c>
      <c r="B78" s="17" t="n">
        <v>7</v>
      </c>
      <c r="C78" s="17" t="s">
        <v>683</v>
      </c>
      <c r="D78" s="17" t="s">
        <v>684</v>
      </c>
      <c r="E78" s="17" t="s">
        <v>685</v>
      </c>
      <c r="F78" s="17" t="s">
        <v>686</v>
      </c>
      <c r="G78" s="17" t="s">
        <v>687</v>
      </c>
      <c r="H78" s="17" t="s">
        <v>688</v>
      </c>
      <c r="I78" s="17" t="s">
        <v>136</v>
      </c>
      <c r="J78" s="17" t="s">
        <v>103</v>
      </c>
      <c r="K78" s="17" t="s">
        <v>137</v>
      </c>
      <c r="L78" s="17" t="s">
        <v>181</v>
      </c>
      <c r="M78" s="17" t="s">
        <v>689</v>
      </c>
      <c r="N78" s="17" t="s">
        <v>690</v>
      </c>
      <c r="O78" s="17" t="s">
        <v>691</v>
      </c>
      <c r="P78" s="17" t="s">
        <v>14</v>
      </c>
    </row>
    <row r="79" customFormat="false" ht="23.85" hidden="false" customHeight="false" outlineLevel="0" collapsed="false">
      <c r="A79" s="18" t="s">
        <v>682</v>
      </c>
      <c r="B79" s="18" t="n">
        <v>7</v>
      </c>
      <c r="C79" s="18" t="s">
        <v>692</v>
      </c>
      <c r="D79" s="18" t="s">
        <v>693</v>
      </c>
      <c r="E79" s="18" t="s">
        <v>694</v>
      </c>
      <c r="F79" s="18" t="s">
        <v>695</v>
      </c>
      <c r="G79" s="18" t="s">
        <v>696</v>
      </c>
      <c r="H79" s="18" t="s">
        <v>697</v>
      </c>
      <c r="I79" s="18" t="s">
        <v>136</v>
      </c>
      <c r="J79" s="18" t="s">
        <v>103</v>
      </c>
      <c r="K79" s="18" t="s">
        <v>137</v>
      </c>
      <c r="L79" s="18" t="s">
        <v>181</v>
      </c>
      <c r="M79" s="18" t="s">
        <v>698</v>
      </c>
      <c r="N79" s="18" t="s">
        <v>699</v>
      </c>
      <c r="O79" s="18" t="s">
        <v>700</v>
      </c>
      <c r="P79" s="18" t="s">
        <v>14</v>
      </c>
    </row>
    <row r="80" customFormat="false" ht="23.85" hidden="false" customHeight="false" outlineLevel="0" collapsed="false">
      <c r="A80" s="17" t="s">
        <v>682</v>
      </c>
      <c r="B80" s="17" t="n">
        <v>7</v>
      </c>
      <c r="C80" s="17" t="s">
        <v>701</v>
      </c>
      <c r="D80" s="17" t="s">
        <v>702</v>
      </c>
      <c r="E80" s="17" t="s">
        <v>703</v>
      </c>
      <c r="F80" s="17" t="s">
        <v>704</v>
      </c>
      <c r="G80" s="17" t="s">
        <v>705</v>
      </c>
      <c r="H80" s="17" t="s">
        <v>706</v>
      </c>
      <c r="I80" s="17" t="s">
        <v>172</v>
      </c>
      <c r="J80" s="17" t="s">
        <v>103</v>
      </c>
      <c r="K80" s="17" t="s">
        <v>137</v>
      </c>
      <c r="L80" s="17" t="s">
        <v>379</v>
      </c>
      <c r="M80" s="17" t="s">
        <v>707</v>
      </c>
      <c r="N80" s="17" t="s">
        <v>708</v>
      </c>
      <c r="O80" s="17" t="s">
        <v>709</v>
      </c>
      <c r="P80" s="17" t="s">
        <v>14</v>
      </c>
    </row>
    <row r="81" customFormat="false" ht="23.85" hidden="false" customHeight="false" outlineLevel="0" collapsed="false">
      <c r="A81" s="18" t="s">
        <v>682</v>
      </c>
      <c r="B81" s="18" t="n">
        <v>7</v>
      </c>
      <c r="C81" s="18" t="s">
        <v>710</v>
      </c>
      <c r="D81" s="18" t="s">
        <v>711</v>
      </c>
      <c r="E81" s="18" t="s">
        <v>712</v>
      </c>
      <c r="F81" s="18" t="s">
        <v>713</v>
      </c>
      <c r="G81" s="18" t="s">
        <v>714</v>
      </c>
      <c r="H81" s="18" t="s">
        <v>715</v>
      </c>
      <c r="I81" s="18" t="s">
        <v>136</v>
      </c>
      <c r="J81" s="18" t="s">
        <v>103</v>
      </c>
      <c r="K81" s="18" t="s">
        <v>137</v>
      </c>
      <c r="L81" s="18" t="s">
        <v>181</v>
      </c>
      <c r="M81" s="18" t="s">
        <v>716</v>
      </c>
      <c r="N81" s="18" t="s">
        <v>717</v>
      </c>
      <c r="O81" s="18" t="s">
        <v>709</v>
      </c>
      <c r="P81" s="18" t="s">
        <v>14</v>
      </c>
    </row>
    <row r="82" customFormat="false" ht="23.85" hidden="false" customHeight="false" outlineLevel="0" collapsed="false">
      <c r="A82" s="17" t="s">
        <v>682</v>
      </c>
      <c r="B82" s="17" t="n">
        <v>7</v>
      </c>
      <c r="C82" s="17" t="s">
        <v>718</v>
      </c>
      <c r="D82" s="17" t="s">
        <v>719</v>
      </c>
      <c r="E82" s="17" t="s">
        <v>720</v>
      </c>
      <c r="F82" s="17" t="s">
        <v>721</v>
      </c>
      <c r="G82" s="17" t="s">
        <v>722</v>
      </c>
      <c r="H82" s="17" t="s">
        <v>723</v>
      </c>
      <c r="I82" s="17" t="s">
        <v>136</v>
      </c>
      <c r="J82" s="17" t="s">
        <v>103</v>
      </c>
      <c r="K82" s="17" t="s">
        <v>137</v>
      </c>
      <c r="L82" s="17" t="s">
        <v>379</v>
      </c>
      <c r="M82" s="17" t="s">
        <v>724</v>
      </c>
      <c r="N82" s="17" t="s">
        <v>725</v>
      </c>
      <c r="O82" s="17" t="s">
        <v>726</v>
      </c>
      <c r="P82" s="17" t="s">
        <v>14</v>
      </c>
    </row>
    <row r="83" customFormat="false" ht="23.85" hidden="false" customHeight="false" outlineLevel="0" collapsed="false">
      <c r="A83" s="18" t="s">
        <v>682</v>
      </c>
      <c r="B83" s="18" t="n">
        <v>7</v>
      </c>
      <c r="C83" s="18" t="s">
        <v>727</v>
      </c>
      <c r="D83" s="18" t="s">
        <v>728</v>
      </c>
      <c r="E83" s="18" t="s">
        <v>729</v>
      </c>
      <c r="F83" s="18" t="s">
        <v>730</v>
      </c>
      <c r="G83" s="18" t="s">
        <v>731</v>
      </c>
      <c r="H83" s="18" t="s">
        <v>732</v>
      </c>
      <c r="I83" s="18" t="s">
        <v>136</v>
      </c>
      <c r="J83" s="18" t="s">
        <v>103</v>
      </c>
      <c r="K83" s="18" t="s">
        <v>137</v>
      </c>
      <c r="L83" s="18" t="s">
        <v>181</v>
      </c>
      <c r="M83" s="18" t="s">
        <v>733</v>
      </c>
      <c r="N83" s="18" t="s">
        <v>734</v>
      </c>
      <c r="O83" s="18" t="s">
        <v>735</v>
      </c>
      <c r="P83" s="18" t="s">
        <v>14</v>
      </c>
    </row>
    <row r="84" customFormat="false" ht="23.85" hidden="false" customHeight="false" outlineLevel="0" collapsed="false">
      <c r="A84" s="17" t="s">
        <v>682</v>
      </c>
      <c r="B84" s="17" t="n">
        <v>7</v>
      </c>
      <c r="C84" s="17" t="s">
        <v>736</v>
      </c>
      <c r="D84" s="17" t="s">
        <v>737</v>
      </c>
      <c r="E84" s="17" t="s">
        <v>738</v>
      </c>
      <c r="F84" s="17" t="s">
        <v>739</v>
      </c>
      <c r="G84" s="17" t="s">
        <v>740</v>
      </c>
      <c r="H84" s="17" t="s">
        <v>727</v>
      </c>
      <c r="I84" s="17" t="s">
        <v>172</v>
      </c>
      <c r="J84" s="17" t="s">
        <v>103</v>
      </c>
      <c r="K84" s="17" t="s">
        <v>137</v>
      </c>
      <c r="L84" s="17" t="s">
        <v>181</v>
      </c>
      <c r="M84" s="17" t="s">
        <v>741</v>
      </c>
      <c r="N84" s="17" t="s">
        <v>742</v>
      </c>
      <c r="O84" s="17" t="s">
        <v>743</v>
      </c>
      <c r="P84" s="17" t="s">
        <v>14</v>
      </c>
    </row>
    <row r="85" customFormat="false" ht="23.85" hidden="false" customHeight="false" outlineLevel="0" collapsed="false">
      <c r="A85" s="18" t="s">
        <v>682</v>
      </c>
      <c r="B85" s="18" t="n">
        <v>7</v>
      </c>
      <c r="C85" s="18" t="s">
        <v>744</v>
      </c>
      <c r="D85" s="18" t="s">
        <v>745</v>
      </c>
      <c r="E85" s="18" t="s">
        <v>746</v>
      </c>
      <c r="F85" s="18" t="s">
        <v>747</v>
      </c>
      <c r="G85" s="18" t="s">
        <v>748</v>
      </c>
      <c r="H85" s="18" t="s">
        <v>683</v>
      </c>
      <c r="I85" s="18" t="s">
        <v>136</v>
      </c>
      <c r="J85" s="18" t="s">
        <v>103</v>
      </c>
      <c r="K85" s="18" t="s">
        <v>137</v>
      </c>
      <c r="L85" s="18" t="s">
        <v>181</v>
      </c>
      <c r="M85" s="18" t="s">
        <v>749</v>
      </c>
      <c r="N85" s="18" t="s">
        <v>750</v>
      </c>
      <c r="O85" s="18"/>
      <c r="P85" s="18" t="s">
        <v>14</v>
      </c>
    </row>
    <row r="86" customFormat="false" ht="23.85" hidden="false" customHeight="false" outlineLevel="0" collapsed="false">
      <c r="A86" s="17" t="s">
        <v>682</v>
      </c>
      <c r="B86" s="17" t="n">
        <v>7</v>
      </c>
      <c r="C86" s="17" t="s">
        <v>751</v>
      </c>
      <c r="D86" s="17" t="s">
        <v>752</v>
      </c>
      <c r="E86" s="17" t="s">
        <v>753</v>
      </c>
      <c r="F86" s="17" t="s">
        <v>754</v>
      </c>
      <c r="G86" s="17" t="s">
        <v>755</v>
      </c>
      <c r="H86" s="17" t="s">
        <v>683</v>
      </c>
      <c r="I86" s="17" t="s">
        <v>136</v>
      </c>
      <c r="J86" s="17" t="s">
        <v>103</v>
      </c>
      <c r="K86" s="17" t="s">
        <v>137</v>
      </c>
      <c r="L86" s="17" t="s">
        <v>181</v>
      </c>
      <c r="M86" s="17" t="s">
        <v>756</v>
      </c>
      <c r="N86" s="17" t="s">
        <v>757</v>
      </c>
      <c r="O86" s="17" t="s">
        <v>758</v>
      </c>
      <c r="P86" s="17" t="s">
        <v>14</v>
      </c>
    </row>
    <row r="87" customFormat="false" ht="23.85" hidden="false" customHeight="false" outlineLevel="0" collapsed="false">
      <c r="A87" s="18" t="s">
        <v>682</v>
      </c>
      <c r="B87" s="18" t="n">
        <v>7</v>
      </c>
      <c r="C87" s="18" t="s">
        <v>759</v>
      </c>
      <c r="D87" s="18" t="s">
        <v>760</v>
      </c>
      <c r="E87" s="18" t="s">
        <v>761</v>
      </c>
      <c r="F87" s="18" t="s">
        <v>762</v>
      </c>
      <c r="G87" s="18" t="s">
        <v>763</v>
      </c>
      <c r="H87" s="18" t="s">
        <v>701</v>
      </c>
      <c r="I87" s="18" t="s">
        <v>172</v>
      </c>
      <c r="J87" s="18" t="s">
        <v>103</v>
      </c>
      <c r="K87" s="18" t="s">
        <v>137</v>
      </c>
      <c r="L87" s="18" t="s">
        <v>181</v>
      </c>
      <c r="M87" s="18" t="s">
        <v>764</v>
      </c>
      <c r="N87" s="18" t="s">
        <v>765</v>
      </c>
      <c r="O87" s="18" t="s">
        <v>709</v>
      </c>
      <c r="P87" s="18" t="s">
        <v>14</v>
      </c>
    </row>
    <row r="88" customFormat="false" ht="23.85" hidden="false" customHeight="false" outlineLevel="0" collapsed="false">
      <c r="A88" s="17" t="s">
        <v>682</v>
      </c>
      <c r="B88" s="17" t="n">
        <v>7</v>
      </c>
      <c r="C88" s="17" t="s">
        <v>766</v>
      </c>
      <c r="D88" s="17" t="s">
        <v>767</v>
      </c>
      <c r="E88" s="17" t="s">
        <v>768</v>
      </c>
      <c r="F88" s="17" t="s">
        <v>769</v>
      </c>
      <c r="G88" s="17" t="s">
        <v>770</v>
      </c>
      <c r="H88" s="17" t="s">
        <v>771</v>
      </c>
      <c r="I88" s="17" t="s">
        <v>172</v>
      </c>
      <c r="J88" s="17" t="s">
        <v>103</v>
      </c>
      <c r="K88" s="17" t="s">
        <v>137</v>
      </c>
      <c r="L88" s="17" t="s">
        <v>181</v>
      </c>
      <c r="M88" s="17" t="s">
        <v>772</v>
      </c>
      <c r="N88" s="17" t="s">
        <v>773</v>
      </c>
      <c r="O88" s="17"/>
      <c r="P88" s="17" t="s">
        <v>14</v>
      </c>
    </row>
    <row r="89" customFormat="false" ht="23.85" hidden="false" customHeight="false" outlineLevel="0" collapsed="false">
      <c r="A89" s="18" t="s">
        <v>682</v>
      </c>
      <c r="B89" s="18" t="n">
        <v>7</v>
      </c>
      <c r="C89" s="18" t="s">
        <v>774</v>
      </c>
      <c r="D89" s="18" t="s">
        <v>775</v>
      </c>
      <c r="E89" s="18" t="s">
        <v>776</v>
      </c>
      <c r="F89" s="18" t="s">
        <v>777</v>
      </c>
      <c r="G89" s="18" t="s">
        <v>778</v>
      </c>
      <c r="H89" s="18" t="s">
        <v>779</v>
      </c>
      <c r="I89" s="18" t="s">
        <v>136</v>
      </c>
      <c r="J89" s="18" t="s">
        <v>103</v>
      </c>
      <c r="K89" s="18" t="s">
        <v>137</v>
      </c>
      <c r="L89" s="18" t="s">
        <v>181</v>
      </c>
      <c r="M89" s="18" t="s">
        <v>780</v>
      </c>
      <c r="N89" s="18" t="s">
        <v>781</v>
      </c>
      <c r="O89" s="18" t="s">
        <v>782</v>
      </c>
      <c r="P89" s="18" t="s">
        <v>18</v>
      </c>
    </row>
    <row r="90" customFormat="false" ht="23.85" hidden="false" customHeight="false" outlineLevel="0" collapsed="false">
      <c r="A90" s="17" t="s">
        <v>682</v>
      </c>
      <c r="B90" s="17" t="n">
        <v>7</v>
      </c>
      <c r="C90" s="17" t="s">
        <v>783</v>
      </c>
      <c r="D90" s="17" t="s">
        <v>784</v>
      </c>
      <c r="E90" s="17" t="s">
        <v>785</v>
      </c>
      <c r="F90" s="17" t="s">
        <v>786</v>
      </c>
      <c r="G90" s="17" t="s">
        <v>787</v>
      </c>
      <c r="H90" s="17" t="s">
        <v>774</v>
      </c>
      <c r="I90" s="17" t="s">
        <v>172</v>
      </c>
      <c r="J90" s="17" t="s">
        <v>103</v>
      </c>
      <c r="K90" s="17" t="s">
        <v>137</v>
      </c>
      <c r="L90" s="17" t="s">
        <v>181</v>
      </c>
      <c r="M90" s="17" t="s">
        <v>788</v>
      </c>
      <c r="N90" s="17" t="s">
        <v>789</v>
      </c>
      <c r="O90" s="17"/>
      <c r="P90" s="17" t="s">
        <v>14</v>
      </c>
    </row>
    <row r="91" customFormat="false" ht="23.85" hidden="false" customHeight="false" outlineLevel="0" collapsed="false">
      <c r="A91" s="18" t="s">
        <v>790</v>
      </c>
      <c r="B91" s="18" t="n">
        <v>8</v>
      </c>
      <c r="C91" s="18" t="s">
        <v>791</v>
      </c>
      <c r="D91" s="18" t="s">
        <v>792</v>
      </c>
      <c r="E91" s="18" t="s">
        <v>793</v>
      </c>
      <c r="F91" s="18" t="s">
        <v>794</v>
      </c>
      <c r="G91" s="18" t="s">
        <v>795</v>
      </c>
      <c r="H91" s="18" t="s">
        <v>796</v>
      </c>
      <c r="I91" s="18" t="s">
        <v>136</v>
      </c>
      <c r="J91" s="18" t="s">
        <v>103</v>
      </c>
      <c r="K91" s="18" t="s">
        <v>137</v>
      </c>
      <c r="L91" s="18" t="s">
        <v>379</v>
      </c>
      <c r="M91" s="18" t="s">
        <v>797</v>
      </c>
      <c r="N91" s="18" t="s">
        <v>798</v>
      </c>
      <c r="O91" s="18" t="s">
        <v>799</v>
      </c>
      <c r="P91" s="18" t="s">
        <v>14</v>
      </c>
    </row>
    <row r="92" customFormat="false" ht="23.85" hidden="false" customHeight="false" outlineLevel="0" collapsed="false">
      <c r="A92" s="17" t="s">
        <v>790</v>
      </c>
      <c r="B92" s="17" t="n">
        <v>8</v>
      </c>
      <c r="C92" s="17" t="s">
        <v>800</v>
      </c>
      <c r="D92" s="17" t="s">
        <v>801</v>
      </c>
      <c r="E92" s="17" t="s">
        <v>802</v>
      </c>
      <c r="F92" s="17" t="s">
        <v>803</v>
      </c>
      <c r="G92" s="17" t="s">
        <v>804</v>
      </c>
      <c r="H92" s="17" t="s">
        <v>791</v>
      </c>
      <c r="I92" s="17" t="s">
        <v>136</v>
      </c>
      <c r="J92" s="17" t="s">
        <v>103</v>
      </c>
      <c r="K92" s="17" t="s">
        <v>137</v>
      </c>
      <c r="L92" s="17" t="s">
        <v>379</v>
      </c>
      <c r="M92" s="17" t="s">
        <v>805</v>
      </c>
      <c r="N92" s="17" t="s">
        <v>806</v>
      </c>
      <c r="O92" s="17" t="s">
        <v>807</v>
      </c>
      <c r="P92" s="17" t="s">
        <v>14</v>
      </c>
    </row>
    <row r="93" customFormat="false" ht="23.85" hidden="false" customHeight="false" outlineLevel="0" collapsed="false">
      <c r="A93" s="18" t="s">
        <v>790</v>
      </c>
      <c r="B93" s="18" t="n">
        <v>8</v>
      </c>
      <c r="C93" s="18" t="s">
        <v>808</v>
      </c>
      <c r="D93" s="18" t="s">
        <v>809</v>
      </c>
      <c r="E93" s="18" t="s">
        <v>810</v>
      </c>
      <c r="F93" s="18" t="s">
        <v>811</v>
      </c>
      <c r="G93" s="18" t="s">
        <v>812</v>
      </c>
      <c r="H93" s="18" t="s">
        <v>791</v>
      </c>
      <c r="I93" s="18" t="s">
        <v>136</v>
      </c>
      <c r="J93" s="18" t="s">
        <v>103</v>
      </c>
      <c r="K93" s="18" t="s">
        <v>137</v>
      </c>
      <c r="L93" s="18" t="s">
        <v>181</v>
      </c>
      <c r="M93" s="18" t="s">
        <v>813</v>
      </c>
      <c r="N93" s="18" t="s">
        <v>814</v>
      </c>
      <c r="O93" s="18" t="s">
        <v>815</v>
      </c>
      <c r="P93" s="18" t="s">
        <v>14</v>
      </c>
    </row>
    <row r="94" customFormat="false" ht="23.85" hidden="false" customHeight="false" outlineLevel="0" collapsed="false">
      <c r="A94" s="17" t="s">
        <v>790</v>
      </c>
      <c r="B94" s="17" t="n">
        <v>8</v>
      </c>
      <c r="C94" s="17" t="s">
        <v>816</v>
      </c>
      <c r="D94" s="17" t="s">
        <v>817</v>
      </c>
      <c r="E94" s="17" t="s">
        <v>818</v>
      </c>
      <c r="F94" s="17" t="s">
        <v>819</v>
      </c>
      <c r="G94" s="17" t="s">
        <v>820</v>
      </c>
      <c r="H94" s="17" t="s">
        <v>808</v>
      </c>
      <c r="I94" s="17" t="s">
        <v>172</v>
      </c>
      <c r="J94" s="17" t="s">
        <v>103</v>
      </c>
      <c r="K94" s="17" t="s">
        <v>137</v>
      </c>
      <c r="L94" s="17" t="s">
        <v>181</v>
      </c>
      <c r="M94" s="17" t="s">
        <v>821</v>
      </c>
      <c r="N94" s="17" t="s">
        <v>822</v>
      </c>
      <c r="O94" s="17" t="s">
        <v>823</v>
      </c>
      <c r="P94" s="17" t="s">
        <v>14</v>
      </c>
    </row>
    <row r="95" customFormat="false" ht="23.85" hidden="false" customHeight="false" outlineLevel="0" collapsed="false">
      <c r="A95" s="18" t="s">
        <v>790</v>
      </c>
      <c r="B95" s="18" t="n">
        <v>8</v>
      </c>
      <c r="C95" s="18" t="s">
        <v>824</v>
      </c>
      <c r="D95" s="18" t="s">
        <v>825</v>
      </c>
      <c r="E95" s="18" t="s">
        <v>826</v>
      </c>
      <c r="F95" s="18" t="s">
        <v>827</v>
      </c>
      <c r="G95" s="18" t="s">
        <v>828</v>
      </c>
      <c r="H95" s="18" t="s">
        <v>829</v>
      </c>
      <c r="I95" s="18" t="s">
        <v>136</v>
      </c>
      <c r="J95" s="18" t="s">
        <v>103</v>
      </c>
      <c r="K95" s="18" t="s">
        <v>137</v>
      </c>
      <c r="L95" s="18" t="s">
        <v>379</v>
      </c>
      <c r="M95" s="18" t="s">
        <v>830</v>
      </c>
      <c r="N95" s="18" t="s">
        <v>831</v>
      </c>
      <c r="O95" s="18" t="s">
        <v>832</v>
      </c>
      <c r="P95" s="18" t="s">
        <v>14</v>
      </c>
    </row>
    <row r="96" customFormat="false" ht="23.85" hidden="false" customHeight="false" outlineLevel="0" collapsed="false">
      <c r="A96" s="17" t="s">
        <v>790</v>
      </c>
      <c r="B96" s="17" t="n">
        <v>8</v>
      </c>
      <c r="C96" s="17" t="s">
        <v>833</v>
      </c>
      <c r="D96" s="17" t="s">
        <v>834</v>
      </c>
      <c r="E96" s="17" t="s">
        <v>835</v>
      </c>
      <c r="F96" s="17" t="s">
        <v>836</v>
      </c>
      <c r="G96" s="17" t="s">
        <v>837</v>
      </c>
      <c r="H96" s="17" t="s">
        <v>824</v>
      </c>
      <c r="I96" s="17" t="s">
        <v>136</v>
      </c>
      <c r="J96" s="17" t="s">
        <v>103</v>
      </c>
      <c r="K96" s="17" t="s">
        <v>137</v>
      </c>
      <c r="L96" s="17" t="s">
        <v>379</v>
      </c>
      <c r="M96" s="17" t="s">
        <v>838</v>
      </c>
      <c r="N96" s="17" t="s">
        <v>839</v>
      </c>
      <c r="O96" s="17" t="s">
        <v>840</v>
      </c>
      <c r="P96" s="17" t="s">
        <v>14</v>
      </c>
    </row>
    <row r="97" customFormat="false" ht="23.85" hidden="false" customHeight="false" outlineLevel="0" collapsed="false">
      <c r="A97" s="18" t="s">
        <v>790</v>
      </c>
      <c r="B97" s="18" t="n">
        <v>8</v>
      </c>
      <c r="C97" s="18" t="s">
        <v>841</v>
      </c>
      <c r="D97" s="18" t="s">
        <v>842</v>
      </c>
      <c r="E97" s="18" t="s">
        <v>843</v>
      </c>
      <c r="F97" s="18" t="s">
        <v>844</v>
      </c>
      <c r="G97" s="18" t="s">
        <v>845</v>
      </c>
      <c r="H97" s="18" t="s">
        <v>833</v>
      </c>
      <c r="I97" s="18" t="s">
        <v>136</v>
      </c>
      <c r="J97" s="18" t="s">
        <v>103</v>
      </c>
      <c r="K97" s="18" t="s">
        <v>137</v>
      </c>
      <c r="L97" s="18" t="s">
        <v>181</v>
      </c>
      <c r="M97" s="18" t="s">
        <v>846</v>
      </c>
      <c r="N97" s="18" t="s">
        <v>847</v>
      </c>
      <c r="O97" s="18" t="s">
        <v>848</v>
      </c>
      <c r="P97" s="18" t="s">
        <v>14</v>
      </c>
    </row>
    <row r="98" customFormat="false" ht="23.85" hidden="false" customHeight="false" outlineLevel="0" collapsed="false">
      <c r="A98" s="17" t="s">
        <v>790</v>
      </c>
      <c r="B98" s="17" t="n">
        <v>8</v>
      </c>
      <c r="C98" s="17" t="s">
        <v>849</v>
      </c>
      <c r="D98" s="17" t="s">
        <v>850</v>
      </c>
      <c r="E98" s="17" t="s">
        <v>851</v>
      </c>
      <c r="F98" s="17" t="s">
        <v>852</v>
      </c>
      <c r="G98" s="17" t="s">
        <v>853</v>
      </c>
      <c r="H98" s="17" t="s">
        <v>833</v>
      </c>
      <c r="I98" s="17" t="s">
        <v>172</v>
      </c>
      <c r="J98" s="17" t="s">
        <v>103</v>
      </c>
      <c r="K98" s="17" t="s">
        <v>137</v>
      </c>
      <c r="L98" s="17" t="s">
        <v>147</v>
      </c>
      <c r="M98" s="17" t="s">
        <v>854</v>
      </c>
      <c r="N98" s="17" t="s">
        <v>855</v>
      </c>
      <c r="O98" s="17" t="s">
        <v>856</v>
      </c>
      <c r="P98" s="17" t="s">
        <v>14</v>
      </c>
    </row>
    <row r="99" customFormat="false" ht="23.85" hidden="false" customHeight="false" outlineLevel="0" collapsed="false">
      <c r="A99" s="18" t="s">
        <v>790</v>
      </c>
      <c r="B99" s="18" t="n">
        <v>8</v>
      </c>
      <c r="C99" s="18" t="s">
        <v>857</v>
      </c>
      <c r="D99" s="18" t="s">
        <v>858</v>
      </c>
      <c r="E99" s="18" t="s">
        <v>859</v>
      </c>
      <c r="F99" s="18" t="s">
        <v>860</v>
      </c>
      <c r="G99" s="18" t="s">
        <v>861</v>
      </c>
      <c r="H99" s="18" t="s">
        <v>862</v>
      </c>
      <c r="I99" s="18" t="s">
        <v>136</v>
      </c>
      <c r="J99" s="18" t="s">
        <v>103</v>
      </c>
      <c r="K99" s="18" t="s">
        <v>137</v>
      </c>
      <c r="L99" s="18" t="s">
        <v>181</v>
      </c>
      <c r="M99" s="18" t="s">
        <v>863</v>
      </c>
      <c r="N99" s="18" t="s">
        <v>864</v>
      </c>
      <c r="O99" s="18" t="s">
        <v>865</v>
      </c>
      <c r="P99" s="18" t="s">
        <v>14</v>
      </c>
    </row>
    <row r="100" customFormat="false" ht="23.85" hidden="false" customHeight="false" outlineLevel="0" collapsed="false">
      <c r="A100" s="17" t="s">
        <v>790</v>
      </c>
      <c r="B100" s="17" t="n">
        <v>8</v>
      </c>
      <c r="C100" s="17" t="s">
        <v>866</v>
      </c>
      <c r="D100" s="17" t="s">
        <v>867</v>
      </c>
      <c r="E100" s="17" t="s">
        <v>868</v>
      </c>
      <c r="F100" s="17" t="s">
        <v>869</v>
      </c>
      <c r="G100" s="17" t="s">
        <v>870</v>
      </c>
      <c r="H100" s="17" t="s">
        <v>871</v>
      </c>
      <c r="I100" s="17" t="s">
        <v>172</v>
      </c>
      <c r="J100" s="17" t="s">
        <v>103</v>
      </c>
      <c r="K100" s="17" t="s">
        <v>137</v>
      </c>
      <c r="L100" s="17" t="s">
        <v>181</v>
      </c>
      <c r="M100" s="17" t="s">
        <v>872</v>
      </c>
      <c r="N100" s="17" t="s">
        <v>873</v>
      </c>
      <c r="O100" s="17" t="s">
        <v>874</v>
      </c>
      <c r="P100" s="17" t="s">
        <v>14</v>
      </c>
    </row>
    <row r="101" customFormat="false" ht="23.85" hidden="false" customHeight="false" outlineLevel="0" collapsed="false">
      <c r="A101" s="18" t="s">
        <v>790</v>
      </c>
      <c r="B101" s="18" t="n">
        <v>8</v>
      </c>
      <c r="C101" s="18" t="s">
        <v>875</v>
      </c>
      <c r="D101" s="18" t="s">
        <v>876</v>
      </c>
      <c r="E101" s="18" t="s">
        <v>877</v>
      </c>
      <c r="F101" s="18" t="s">
        <v>878</v>
      </c>
      <c r="G101" s="18" t="s">
        <v>879</v>
      </c>
      <c r="H101" s="18" t="s">
        <v>880</v>
      </c>
      <c r="I101" s="18" t="s">
        <v>172</v>
      </c>
      <c r="J101" s="18" t="s">
        <v>103</v>
      </c>
      <c r="K101" s="18" t="s">
        <v>137</v>
      </c>
      <c r="L101" s="18" t="s">
        <v>181</v>
      </c>
      <c r="M101" s="18" t="s">
        <v>881</v>
      </c>
      <c r="N101" s="18" t="s">
        <v>882</v>
      </c>
      <c r="O101" s="18" t="s">
        <v>883</v>
      </c>
      <c r="P101" s="18" t="s">
        <v>14</v>
      </c>
    </row>
    <row r="102" customFormat="false" ht="23.85" hidden="false" customHeight="false" outlineLevel="0" collapsed="false">
      <c r="A102" s="17" t="s">
        <v>790</v>
      </c>
      <c r="B102" s="17" t="n">
        <v>8</v>
      </c>
      <c r="C102" s="17" t="s">
        <v>884</v>
      </c>
      <c r="D102" s="17" t="s">
        <v>885</v>
      </c>
      <c r="E102" s="17" t="s">
        <v>886</v>
      </c>
      <c r="F102" s="17" t="s">
        <v>887</v>
      </c>
      <c r="G102" s="17" t="s">
        <v>888</v>
      </c>
      <c r="H102" s="17" t="s">
        <v>800</v>
      </c>
      <c r="I102" s="17" t="s">
        <v>172</v>
      </c>
      <c r="J102" s="17" t="s">
        <v>103</v>
      </c>
      <c r="K102" s="17" t="s">
        <v>137</v>
      </c>
      <c r="L102" s="17" t="s">
        <v>181</v>
      </c>
      <c r="M102" s="17" t="s">
        <v>889</v>
      </c>
      <c r="N102" s="17" t="s">
        <v>890</v>
      </c>
      <c r="O102" s="17" t="s">
        <v>891</v>
      </c>
      <c r="P102" s="17" t="s">
        <v>14</v>
      </c>
    </row>
    <row r="103" customFormat="false" ht="23.85" hidden="false" customHeight="false" outlineLevel="0" collapsed="false">
      <c r="A103" s="18" t="s">
        <v>892</v>
      </c>
      <c r="B103" s="18" t="n">
        <v>9</v>
      </c>
      <c r="C103" s="18" t="s">
        <v>893</v>
      </c>
      <c r="D103" s="18" t="s">
        <v>894</v>
      </c>
      <c r="E103" s="18" t="s">
        <v>895</v>
      </c>
      <c r="F103" s="18" t="s">
        <v>896</v>
      </c>
      <c r="G103" s="18" t="s">
        <v>897</v>
      </c>
      <c r="H103" s="18" t="s">
        <v>898</v>
      </c>
      <c r="I103" s="18" t="s">
        <v>136</v>
      </c>
      <c r="J103" s="18" t="s">
        <v>103</v>
      </c>
      <c r="K103" s="18" t="s">
        <v>137</v>
      </c>
      <c r="L103" s="18" t="s">
        <v>379</v>
      </c>
      <c r="M103" s="18" t="s">
        <v>899</v>
      </c>
      <c r="N103" s="18" t="s">
        <v>900</v>
      </c>
      <c r="O103" s="18" t="s">
        <v>901</v>
      </c>
      <c r="P103" s="18" t="s">
        <v>14</v>
      </c>
    </row>
    <row r="104" customFormat="false" ht="23.85" hidden="false" customHeight="false" outlineLevel="0" collapsed="false">
      <c r="A104" s="17" t="s">
        <v>892</v>
      </c>
      <c r="B104" s="17" t="n">
        <v>9</v>
      </c>
      <c r="C104" s="17" t="s">
        <v>902</v>
      </c>
      <c r="D104" s="17" t="s">
        <v>903</v>
      </c>
      <c r="E104" s="17" t="s">
        <v>904</v>
      </c>
      <c r="F104" s="17" t="s">
        <v>905</v>
      </c>
      <c r="G104" s="17" t="s">
        <v>906</v>
      </c>
      <c r="H104" s="17" t="s">
        <v>907</v>
      </c>
      <c r="I104" s="17" t="s">
        <v>136</v>
      </c>
      <c r="J104" s="17" t="s">
        <v>103</v>
      </c>
      <c r="K104" s="17" t="s">
        <v>137</v>
      </c>
      <c r="L104" s="17" t="s">
        <v>181</v>
      </c>
      <c r="M104" s="17" t="s">
        <v>908</v>
      </c>
      <c r="N104" s="17" t="s">
        <v>909</v>
      </c>
      <c r="O104" s="17" t="s">
        <v>910</v>
      </c>
      <c r="P104" s="17" t="s">
        <v>14</v>
      </c>
    </row>
    <row r="105" customFormat="false" ht="23.85" hidden="false" customHeight="false" outlineLevel="0" collapsed="false">
      <c r="A105" s="18" t="s">
        <v>892</v>
      </c>
      <c r="B105" s="18" t="n">
        <v>9</v>
      </c>
      <c r="C105" s="18" t="s">
        <v>911</v>
      </c>
      <c r="D105" s="18" t="s">
        <v>912</v>
      </c>
      <c r="E105" s="18" t="s">
        <v>913</v>
      </c>
      <c r="F105" s="18" t="s">
        <v>914</v>
      </c>
      <c r="G105" s="18" t="s">
        <v>915</v>
      </c>
      <c r="H105" s="18" t="s">
        <v>893</v>
      </c>
      <c r="I105" s="18" t="s">
        <v>136</v>
      </c>
      <c r="J105" s="18" t="s">
        <v>103</v>
      </c>
      <c r="K105" s="18" t="s">
        <v>137</v>
      </c>
      <c r="L105" s="18" t="s">
        <v>181</v>
      </c>
      <c r="M105" s="18" t="s">
        <v>916</v>
      </c>
      <c r="N105" s="18" t="s">
        <v>917</v>
      </c>
      <c r="O105" s="18" t="s">
        <v>918</v>
      </c>
      <c r="P105" s="18" t="s">
        <v>14</v>
      </c>
    </row>
    <row r="106" customFormat="false" ht="23.85" hidden="false" customHeight="false" outlineLevel="0" collapsed="false">
      <c r="A106" s="17" t="s">
        <v>892</v>
      </c>
      <c r="B106" s="17" t="n">
        <v>9</v>
      </c>
      <c r="C106" s="17" t="s">
        <v>919</v>
      </c>
      <c r="D106" s="17" t="s">
        <v>920</v>
      </c>
      <c r="E106" s="17" t="s">
        <v>921</v>
      </c>
      <c r="F106" s="17" t="s">
        <v>922</v>
      </c>
      <c r="G106" s="17" t="s">
        <v>923</v>
      </c>
      <c r="H106" s="17" t="s">
        <v>893</v>
      </c>
      <c r="I106" s="17" t="s">
        <v>136</v>
      </c>
      <c r="J106" s="17" t="s">
        <v>103</v>
      </c>
      <c r="K106" s="17" t="s">
        <v>137</v>
      </c>
      <c r="L106" s="17" t="s">
        <v>147</v>
      </c>
      <c r="M106" s="17" t="s">
        <v>924</v>
      </c>
      <c r="N106" s="17" t="s">
        <v>925</v>
      </c>
      <c r="O106" s="17" t="s">
        <v>926</v>
      </c>
      <c r="P106" s="17" t="s">
        <v>14</v>
      </c>
    </row>
    <row r="107" customFormat="false" ht="23.85" hidden="false" customHeight="false" outlineLevel="0" collapsed="false">
      <c r="A107" s="18" t="s">
        <v>892</v>
      </c>
      <c r="B107" s="18" t="n">
        <v>9</v>
      </c>
      <c r="C107" s="18" t="s">
        <v>927</v>
      </c>
      <c r="D107" s="18" t="s">
        <v>928</v>
      </c>
      <c r="E107" s="18" t="s">
        <v>929</v>
      </c>
      <c r="F107" s="18" t="s">
        <v>930</v>
      </c>
      <c r="G107" s="18" t="s">
        <v>931</v>
      </c>
      <c r="H107" s="18" t="s">
        <v>932</v>
      </c>
      <c r="I107" s="18" t="s">
        <v>172</v>
      </c>
      <c r="J107" s="18" t="s">
        <v>103</v>
      </c>
      <c r="K107" s="18" t="s">
        <v>137</v>
      </c>
      <c r="L107" s="18" t="s">
        <v>181</v>
      </c>
      <c r="M107" s="18" t="s">
        <v>933</v>
      </c>
      <c r="N107" s="18" t="s">
        <v>934</v>
      </c>
      <c r="O107" s="18" t="s">
        <v>935</v>
      </c>
      <c r="P107" s="18" t="s">
        <v>14</v>
      </c>
    </row>
    <row r="108" customFormat="false" ht="23.85" hidden="false" customHeight="false" outlineLevel="0" collapsed="false">
      <c r="A108" s="17" t="s">
        <v>892</v>
      </c>
      <c r="B108" s="17" t="n">
        <v>9</v>
      </c>
      <c r="C108" s="17" t="s">
        <v>936</v>
      </c>
      <c r="D108" s="17" t="s">
        <v>937</v>
      </c>
      <c r="E108" s="17" t="s">
        <v>938</v>
      </c>
      <c r="F108" s="17" t="s">
        <v>939</v>
      </c>
      <c r="G108" s="17" t="s">
        <v>940</v>
      </c>
      <c r="H108" s="17" t="s">
        <v>927</v>
      </c>
      <c r="I108" s="17" t="s">
        <v>172</v>
      </c>
      <c r="J108" s="17" t="s">
        <v>103</v>
      </c>
      <c r="K108" s="17" t="s">
        <v>137</v>
      </c>
      <c r="L108" s="17" t="s">
        <v>147</v>
      </c>
      <c r="M108" s="17" t="s">
        <v>941</v>
      </c>
      <c r="N108" s="17" t="s">
        <v>942</v>
      </c>
      <c r="O108" s="17" t="s">
        <v>943</v>
      </c>
      <c r="P108" s="17" t="s">
        <v>14</v>
      </c>
    </row>
    <row r="109" customFormat="false" ht="23.85" hidden="false" customHeight="false" outlineLevel="0" collapsed="false">
      <c r="A109" s="18" t="s">
        <v>892</v>
      </c>
      <c r="B109" s="18" t="n">
        <v>9</v>
      </c>
      <c r="C109" s="18" t="s">
        <v>944</v>
      </c>
      <c r="D109" s="18" t="s">
        <v>945</v>
      </c>
      <c r="E109" s="18" t="s">
        <v>946</v>
      </c>
      <c r="F109" s="18" t="s">
        <v>947</v>
      </c>
      <c r="G109" s="18" t="s">
        <v>948</v>
      </c>
      <c r="H109" s="18" t="s">
        <v>893</v>
      </c>
      <c r="I109" s="18" t="s">
        <v>172</v>
      </c>
      <c r="J109" s="18" t="s">
        <v>103</v>
      </c>
      <c r="K109" s="18" t="s">
        <v>137</v>
      </c>
      <c r="L109" s="18" t="s">
        <v>147</v>
      </c>
      <c r="M109" s="18" t="s">
        <v>945</v>
      </c>
      <c r="N109" s="18" t="s">
        <v>949</v>
      </c>
      <c r="O109" s="18" t="s">
        <v>950</v>
      </c>
      <c r="P109" s="18" t="s">
        <v>14</v>
      </c>
    </row>
    <row r="110" customFormat="false" ht="23.85" hidden="false" customHeight="false" outlineLevel="0" collapsed="false">
      <c r="A110" s="17" t="s">
        <v>892</v>
      </c>
      <c r="B110" s="17" t="n">
        <v>9</v>
      </c>
      <c r="C110" s="17" t="s">
        <v>951</v>
      </c>
      <c r="D110" s="17" t="s">
        <v>952</v>
      </c>
      <c r="E110" s="17" t="s">
        <v>953</v>
      </c>
      <c r="F110" s="17" t="s">
        <v>954</v>
      </c>
      <c r="G110" s="17" t="s">
        <v>955</v>
      </c>
      <c r="H110" s="17" t="s">
        <v>956</v>
      </c>
      <c r="I110" s="17" t="s">
        <v>274</v>
      </c>
      <c r="J110" s="17" t="s">
        <v>103</v>
      </c>
      <c r="K110" s="17" t="s">
        <v>137</v>
      </c>
      <c r="L110" s="17" t="s">
        <v>181</v>
      </c>
      <c r="M110" s="17" t="s">
        <v>957</v>
      </c>
      <c r="N110" s="17" t="s">
        <v>958</v>
      </c>
      <c r="O110" s="17" t="s">
        <v>959</v>
      </c>
      <c r="P110" s="17" t="s">
        <v>18</v>
      </c>
    </row>
    <row r="111" customFormat="false" ht="23.85" hidden="false" customHeight="false" outlineLevel="0" collapsed="false">
      <c r="A111" s="18" t="s">
        <v>892</v>
      </c>
      <c r="B111" s="18" t="n">
        <v>9</v>
      </c>
      <c r="C111" s="18" t="s">
        <v>960</v>
      </c>
      <c r="D111" s="18" t="s">
        <v>961</v>
      </c>
      <c r="E111" s="18" t="s">
        <v>962</v>
      </c>
      <c r="F111" s="18" t="s">
        <v>963</v>
      </c>
      <c r="G111" s="18" t="s">
        <v>964</v>
      </c>
      <c r="H111" s="18" t="s">
        <v>965</v>
      </c>
      <c r="I111" s="18" t="s">
        <v>136</v>
      </c>
      <c r="J111" s="18" t="s">
        <v>103</v>
      </c>
      <c r="K111" s="18" t="s">
        <v>137</v>
      </c>
      <c r="L111" s="18" t="s">
        <v>181</v>
      </c>
      <c r="M111" s="18" t="s">
        <v>966</v>
      </c>
      <c r="N111" s="18" t="s">
        <v>967</v>
      </c>
      <c r="O111" s="18" t="s">
        <v>968</v>
      </c>
      <c r="P111" s="18" t="s">
        <v>14</v>
      </c>
    </row>
    <row r="112" customFormat="false" ht="23.85" hidden="false" customHeight="false" outlineLevel="0" collapsed="false">
      <c r="A112" s="17" t="s">
        <v>892</v>
      </c>
      <c r="B112" s="17" t="n">
        <v>9</v>
      </c>
      <c r="C112" s="17" t="s">
        <v>969</v>
      </c>
      <c r="D112" s="17" t="s">
        <v>970</v>
      </c>
      <c r="E112" s="17" t="s">
        <v>971</v>
      </c>
      <c r="F112" s="17" t="s">
        <v>972</v>
      </c>
      <c r="G112" s="17" t="s">
        <v>973</v>
      </c>
      <c r="H112" s="17" t="s">
        <v>974</v>
      </c>
      <c r="I112" s="17" t="s">
        <v>172</v>
      </c>
      <c r="J112" s="17" t="s">
        <v>103</v>
      </c>
      <c r="K112" s="17" t="s">
        <v>137</v>
      </c>
      <c r="L112" s="17" t="s">
        <v>147</v>
      </c>
      <c r="M112" s="17" t="s">
        <v>975</v>
      </c>
      <c r="N112" s="17" t="s">
        <v>976</v>
      </c>
      <c r="O112" s="17" t="s">
        <v>977</v>
      </c>
      <c r="P112" s="17" t="s">
        <v>14</v>
      </c>
    </row>
    <row r="113" customFormat="false" ht="23.85" hidden="false" customHeight="false" outlineLevel="0" collapsed="false">
      <c r="A113" s="18" t="s">
        <v>978</v>
      </c>
      <c r="B113" s="18" t="n">
        <v>10</v>
      </c>
      <c r="C113" s="18" t="s">
        <v>979</v>
      </c>
      <c r="D113" s="18" t="s">
        <v>980</v>
      </c>
      <c r="E113" s="18" t="s">
        <v>981</v>
      </c>
      <c r="F113" s="18" t="s">
        <v>982</v>
      </c>
      <c r="G113" s="18" t="s">
        <v>983</v>
      </c>
      <c r="H113" s="18" t="s">
        <v>449</v>
      </c>
      <c r="I113" s="18" t="s">
        <v>136</v>
      </c>
      <c r="J113" s="18" t="s">
        <v>103</v>
      </c>
      <c r="K113" s="18" t="s">
        <v>137</v>
      </c>
      <c r="L113" s="18" t="s">
        <v>181</v>
      </c>
      <c r="M113" s="18" t="s">
        <v>984</v>
      </c>
      <c r="N113" s="18" t="s">
        <v>985</v>
      </c>
      <c r="O113" s="18" t="s">
        <v>986</v>
      </c>
      <c r="P113" s="18" t="s">
        <v>14</v>
      </c>
    </row>
    <row r="114" customFormat="false" ht="23.85" hidden="false" customHeight="false" outlineLevel="0" collapsed="false">
      <c r="A114" s="17" t="s">
        <v>978</v>
      </c>
      <c r="B114" s="17" t="n">
        <v>10</v>
      </c>
      <c r="C114" s="17" t="s">
        <v>987</v>
      </c>
      <c r="D114" s="17" t="s">
        <v>988</v>
      </c>
      <c r="E114" s="17" t="s">
        <v>989</v>
      </c>
      <c r="F114" s="17" t="s">
        <v>990</v>
      </c>
      <c r="G114" s="17" t="s">
        <v>991</v>
      </c>
      <c r="H114" s="17" t="s">
        <v>992</v>
      </c>
      <c r="I114" s="17" t="s">
        <v>136</v>
      </c>
      <c r="J114" s="17" t="s">
        <v>103</v>
      </c>
      <c r="K114" s="17" t="s">
        <v>137</v>
      </c>
      <c r="L114" s="17" t="s">
        <v>181</v>
      </c>
      <c r="M114" s="17" t="s">
        <v>993</v>
      </c>
      <c r="N114" s="17" t="s">
        <v>994</v>
      </c>
      <c r="O114" s="17"/>
      <c r="P114" s="17" t="s">
        <v>14</v>
      </c>
    </row>
    <row r="115" customFormat="false" ht="23.85" hidden="false" customHeight="false" outlineLevel="0" collapsed="false">
      <c r="A115" s="18" t="s">
        <v>978</v>
      </c>
      <c r="B115" s="18" t="n">
        <v>10</v>
      </c>
      <c r="C115" s="18" t="s">
        <v>995</v>
      </c>
      <c r="D115" s="18" t="s">
        <v>996</v>
      </c>
      <c r="E115" s="18" t="s">
        <v>997</v>
      </c>
      <c r="F115" s="18" t="s">
        <v>998</v>
      </c>
      <c r="G115" s="18" t="s">
        <v>999</v>
      </c>
      <c r="H115" s="18" t="s">
        <v>1000</v>
      </c>
      <c r="I115" s="18" t="s">
        <v>136</v>
      </c>
      <c r="J115" s="18" t="s">
        <v>103</v>
      </c>
      <c r="K115" s="18" t="s">
        <v>137</v>
      </c>
      <c r="L115" s="18" t="s">
        <v>181</v>
      </c>
      <c r="M115" s="18" t="s">
        <v>1001</v>
      </c>
      <c r="N115" s="18" t="s">
        <v>1002</v>
      </c>
      <c r="O115" s="18" t="s">
        <v>1003</v>
      </c>
      <c r="P115" s="18" t="s">
        <v>14</v>
      </c>
    </row>
    <row r="116" customFormat="false" ht="23.85" hidden="false" customHeight="false" outlineLevel="0" collapsed="false">
      <c r="A116" s="17" t="s">
        <v>978</v>
      </c>
      <c r="B116" s="17" t="n">
        <v>10</v>
      </c>
      <c r="C116" s="17" t="s">
        <v>1004</v>
      </c>
      <c r="D116" s="17" t="s">
        <v>1005</v>
      </c>
      <c r="E116" s="17" t="s">
        <v>1006</v>
      </c>
      <c r="F116" s="17" t="s">
        <v>1007</v>
      </c>
      <c r="G116" s="17" t="s">
        <v>1008</v>
      </c>
      <c r="H116" s="17" t="s">
        <v>995</v>
      </c>
      <c r="I116" s="17" t="s">
        <v>136</v>
      </c>
      <c r="J116" s="17" t="s">
        <v>103</v>
      </c>
      <c r="K116" s="17" t="s">
        <v>137</v>
      </c>
      <c r="L116" s="17" t="s">
        <v>147</v>
      </c>
      <c r="M116" s="17" t="s">
        <v>1009</v>
      </c>
      <c r="N116" s="17" t="s">
        <v>1010</v>
      </c>
      <c r="O116" s="17" t="s">
        <v>1011</v>
      </c>
      <c r="P116" s="17" t="s">
        <v>14</v>
      </c>
    </row>
    <row r="117" customFormat="false" ht="23.85" hidden="false" customHeight="false" outlineLevel="0" collapsed="false">
      <c r="A117" s="18" t="s">
        <v>978</v>
      </c>
      <c r="B117" s="18" t="n">
        <v>10</v>
      </c>
      <c r="C117" s="18" t="s">
        <v>1012</v>
      </c>
      <c r="D117" s="18" t="s">
        <v>1013</v>
      </c>
      <c r="E117" s="18" t="s">
        <v>1014</v>
      </c>
      <c r="F117" s="18" t="s">
        <v>1015</v>
      </c>
      <c r="G117" s="18" t="s">
        <v>1016</v>
      </c>
      <c r="H117" s="18" t="s">
        <v>995</v>
      </c>
      <c r="I117" s="18" t="s">
        <v>136</v>
      </c>
      <c r="J117" s="18" t="s">
        <v>103</v>
      </c>
      <c r="K117" s="18" t="s">
        <v>137</v>
      </c>
      <c r="L117" s="18" t="s">
        <v>147</v>
      </c>
      <c r="M117" s="18" t="s">
        <v>1017</v>
      </c>
      <c r="N117" s="18" t="s">
        <v>1018</v>
      </c>
      <c r="O117" s="18" t="s">
        <v>588</v>
      </c>
      <c r="P117" s="18" t="s">
        <v>14</v>
      </c>
    </row>
    <row r="118" customFormat="false" ht="23.85" hidden="false" customHeight="false" outlineLevel="0" collapsed="false">
      <c r="A118" s="17" t="s">
        <v>978</v>
      </c>
      <c r="B118" s="17" t="n">
        <v>10</v>
      </c>
      <c r="C118" s="17" t="s">
        <v>1019</v>
      </c>
      <c r="D118" s="17" t="s">
        <v>1020</v>
      </c>
      <c r="E118" s="17" t="s">
        <v>1021</v>
      </c>
      <c r="F118" s="17" t="s">
        <v>1022</v>
      </c>
      <c r="G118" s="17" t="s">
        <v>1023</v>
      </c>
      <c r="H118" s="17" t="s">
        <v>1024</v>
      </c>
      <c r="I118" s="17" t="s">
        <v>136</v>
      </c>
      <c r="J118" s="17" t="s">
        <v>103</v>
      </c>
      <c r="K118" s="17" t="s">
        <v>137</v>
      </c>
      <c r="L118" s="17" t="s">
        <v>379</v>
      </c>
      <c r="M118" s="17" t="s">
        <v>1025</v>
      </c>
      <c r="N118" s="17" t="s">
        <v>1026</v>
      </c>
      <c r="O118" s="17" t="s">
        <v>1027</v>
      </c>
      <c r="P118" s="17" t="s">
        <v>14</v>
      </c>
    </row>
    <row r="119" customFormat="false" ht="23.85" hidden="false" customHeight="false" outlineLevel="0" collapsed="false">
      <c r="A119" s="18" t="s">
        <v>978</v>
      </c>
      <c r="B119" s="18" t="n">
        <v>10</v>
      </c>
      <c r="C119" s="18" t="s">
        <v>1028</v>
      </c>
      <c r="D119" s="18" t="s">
        <v>1029</v>
      </c>
      <c r="E119" s="18" t="s">
        <v>1030</v>
      </c>
      <c r="F119" s="18" t="s">
        <v>1031</v>
      </c>
      <c r="G119" s="18" t="s">
        <v>1032</v>
      </c>
      <c r="H119" s="18" t="s">
        <v>1033</v>
      </c>
      <c r="I119" s="18" t="s">
        <v>136</v>
      </c>
      <c r="J119" s="18" t="s">
        <v>103</v>
      </c>
      <c r="K119" s="18" t="s">
        <v>137</v>
      </c>
      <c r="L119" s="18" t="s">
        <v>181</v>
      </c>
      <c r="M119" s="18" t="s">
        <v>1034</v>
      </c>
      <c r="N119" s="18" t="s">
        <v>1035</v>
      </c>
      <c r="O119" s="18"/>
      <c r="P119" s="18" t="s">
        <v>14</v>
      </c>
    </row>
    <row r="120" customFormat="false" ht="23.85" hidden="false" customHeight="false" outlineLevel="0" collapsed="false">
      <c r="A120" s="17" t="s">
        <v>978</v>
      </c>
      <c r="B120" s="17" t="n">
        <v>10</v>
      </c>
      <c r="C120" s="17" t="s">
        <v>1036</v>
      </c>
      <c r="D120" s="17" t="s">
        <v>1037</v>
      </c>
      <c r="E120" s="17" t="s">
        <v>1038</v>
      </c>
      <c r="F120" s="17" t="s">
        <v>1039</v>
      </c>
      <c r="G120" s="17" t="s">
        <v>1040</v>
      </c>
      <c r="H120" s="17" t="s">
        <v>1019</v>
      </c>
      <c r="I120" s="17" t="s">
        <v>172</v>
      </c>
      <c r="J120" s="17" t="s">
        <v>103</v>
      </c>
      <c r="K120" s="17" t="s">
        <v>137</v>
      </c>
      <c r="L120" s="17" t="s">
        <v>181</v>
      </c>
      <c r="M120" s="17" t="s">
        <v>1041</v>
      </c>
      <c r="N120" s="17" t="s">
        <v>1042</v>
      </c>
      <c r="O120" s="17" t="s">
        <v>681</v>
      </c>
      <c r="P120" s="17" t="s">
        <v>14</v>
      </c>
    </row>
    <row r="121" customFormat="false" ht="23.85" hidden="false" customHeight="false" outlineLevel="0" collapsed="false">
      <c r="A121" s="18" t="s">
        <v>978</v>
      </c>
      <c r="B121" s="18" t="n">
        <v>10</v>
      </c>
      <c r="C121" s="18" t="s">
        <v>1043</v>
      </c>
      <c r="D121" s="18" t="s">
        <v>1044</v>
      </c>
      <c r="E121" s="18" t="s">
        <v>1045</v>
      </c>
      <c r="F121" s="18" t="s">
        <v>1046</v>
      </c>
      <c r="G121" s="18" t="s">
        <v>1047</v>
      </c>
      <c r="H121" s="18" t="s">
        <v>1048</v>
      </c>
      <c r="I121" s="18" t="s">
        <v>136</v>
      </c>
      <c r="J121" s="18" t="s">
        <v>103</v>
      </c>
      <c r="K121" s="18" t="s">
        <v>137</v>
      </c>
      <c r="L121" s="18" t="s">
        <v>181</v>
      </c>
      <c r="M121" s="18" t="s">
        <v>1049</v>
      </c>
      <c r="N121" s="18" t="s">
        <v>1050</v>
      </c>
      <c r="O121" s="18" t="s">
        <v>1051</v>
      </c>
      <c r="P121" s="18" t="s">
        <v>14</v>
      </c>
    </row>
    <row r="122" customFormat="false" ht="23.85" hidden="false" customHeight="false" outlineLevel="0" collapsed="false">
      <c r="A122" s="17" t="s">
        <v>978</v>
      </c>
      <c r="B122" s="17" t="n">
        <v>10</v>
      </c>
      <c r="C122" s="17" t="s">
        <v>1052</v>
      </c>
      <c r="D122" s="17" t="s">
        <v>1053</v>
      </c>
      <c r="E122" s="17" t="s">
        <v>1054</v>
      </c>
      <c r="F122" s="17" t="s">
        <v>1055</v>
      </c>
      <c r="G122" s="17" t="s">
        <v>1056</v>
      </c>
      <c r="H122" s="17" t="s">
        <v>995</v>
      </c>
      <c r="I122" s="17" t="s">
        <v>136</v>
      </c>
      <c r="J122" s="17" t="s">
        <v>103</v>
      </c>
      <c r="K122" s="17" t="s">
        <v>137</v>
      </c>
      <c r="L122" s="17" t="s">
        <v>181</v>
      </c>
      <c r="M122" s="17" t="s">
        <v>1057</v>
      </c>
      <c r="N122" s="17" t="s">
        <v>1058</v>
      </c>
      <c r="O122" s="17" t="s">
        <v>1059</v>
      </c>
      <c r="P122" s="17" t="s">
        <v>14</v>
      </c>
    </row>
    <row r="123" customFormat="false" ht="15" hidden="false" customHeight="false" outlineLevel="0" collapsed="false">
      <c r="A123" s="18" t="s">
        <v>1060</v>
      </c>
      <c r="B123" s="18" t="n">
        <v>11</v>
      </c>
      <c r="C123" s="18" t="s">
        <v>1061</v>
      </c>
      <c r="D123" s="18" t="s">
        <v>1062</v>
      </c>
      <c r="E123" s="18" t="s">
        <v>1063</v>
      </c>
      <c r="F123" s="18" t="s">
        <v>1064</v>
      </c>
      <c r="G123" s="18" t="s">
        <v>1065</v>
      </c>
      <c r="H123" s="18" t="s">
        <v>1066</v>
      </c>
      <c r="I123" s="18" t="s">
        <v>172</v>
      </c>
      <c r="J123" s="18" t="s">
        <v>103</v>
      </c>
      <c r="K123" s="18" t="s">
        <v>137</v>
      </c>
      <c r="L123" s="18" t="s">
        <v>181</v>
      </c>
      <c r="M123" s="18" t="s">
        <v>1062</v>
      </c>
      <c r="N123" s="18" t="s">
        <v>1067</v>
      </c>
      <c r="O123" s="18"/>
      <c r="P123" s="18" t="s">
        <v>16</v>
      </c>
    </row>
    <row r="124" customFormat="false" ht="23.85" hidden="false" customHeight="false" outlineLevel="0" collapsed="false">
      <c r="A124" s="17" t="s">
        <v>1060</v>
      </c>
      <c r="B124" s="17" t="n">
        <v>11</v>
      </c>
      <c r="C124" s="17" t="s">
        <v>1068</v>
      </c>
      <c r="D124" s="17" t="s">
        <v>1069</v>
      </c>
      <c r="E124" s="17" t="s">
        <v>1070</v>
      </c>
      <c r="F124" s="17" t="s">
        <v>1071</v>
      </c>
      <c r="G124" s="17" t="s">
        <v>1072</v>
      </c>
      <c r="H124" s="17" t="s">
        <v>1073</v>
      </c>
      <c r="I124" s="17" t="s">
        <v>136</v>
      </c>
      <c r="J124" s="17" t="s">
        <v>103</v>
      </c>
      <c r="K124" s="17" t="s">
        <v>137</v>
      </c>
      <c r="L124" s="17" t="s">
        <v>181</v>
      </c>
      <c r="M124" s="17" t="s">
        <v>1074</v>
      </c>
      <c r="N124" s="17" t="s">
        <v>1075</v>
      </c>
      <c r="O124" s="17" t="s">
        <v>1076</v>
      </c>
      <c r="P124" s="17" t="s">
        <v>14</v>
      </c>
    </row>
    <row r="125" customFormat="false" ht="23.85" hidden="false" customHeight="false" outlineLevel="0" collapsed="false">
      <c r="A125" s="18" t="s">
        <v>1060</v>
      </c>
      <c r="B125" s="18" t="n">
        <v>11</v>
      </c>
      <c r="C125" s="18" t="s">
        <v>1077</v>
      </c>
      <c r="D125" s="18" t="s">
        <v>1078</v>
      </c>
      <c r="E125" s="18" t="s">
        <v>1079</v>
      </c>
      <c r="F125" s="18" t="s">
        <v>1080</v>
      </c>
      <c r="G125" s="18" t="s">
        <v>1081</v>
      </c>
      <c r="H125" s="18" t="s">
        <v>1082</v>
      </c>
      <c r="I125" s="18" t="s">
        <v>172</v>
      </c>
      <c r="J125" s="18" t="s">
        <v>103</v>
      </c>
      <c r="K125" s="18" t="s">
        <v>137</v>
      </c>
      <c r="L125" s="18" t="s">
        <v>181</v>
      </c>
      <c r="M125" s="18" t="s">
        <v>1083</v>
      </c>
      <c r="N125" s="18" t="s">
        <v>1084</v>
      </c>
      <c r="O125" s="18"/>
      <c r="P125" s="18" t="s">
        <v>14</v>
      </c>
    </row>
    <row r="126" customFormat="false" ht="23.85" hidden="false" customHeight="false" outlineLevel="0" collapsed="false">
      <c r="A126" s="17" t="s">
        <v>1060</v>
      </c>
      <c r="B126" s="17" t="n">
        <v>11</v>
      </c>
      <c r="C126" s="17" t="s">
        <v>1085</v>
      </c>
      <c r="D126" s="17" t="s">
        <v>1086</v>
      </c>
      <c r="E126" s="17" t="s">
        <v>1087</v>
      </c>
      <c r="F126" s="17" t="s">
        <v>1088</v>
      </c>
      <c r="G126" s="17" t="s">
        <v>1089</v>
      </c>
      <c r="H126" s="17" t="s">
        <v>1090</v>
      </c>
      <c r="I126" s="17" t="s">
        <v>172</v>
      </c>
      <c r="J126" s="17" t="s">
        <v>103</v>
      </c>
      <c r="K126" s="17" t="s">
        <v>137</v>
      </c>
      <c r="L126" s="17" t="s">
        <v>181</v>
      </c>
      <c r="M126" s="17" t="s">
        <v>1091</v>
      </c>
      <c r="N126" s="17" t="s">
        <v>1092</v>
      </c>
      <c r="O126" s="17" t="s">
        <v>1093</v>
      </c>
      <c r="P126" s="17" t="s">
        <v>14</v>
      </c>
    </row>
    <row r="127" customFormat="false" ht="15" hidden="false" customHeight="false" outlineLevel="0" collapsed="false">
      <c r="A127" s="18" t="s">
        <v>1060</v>
      </c>
      <c r="B127" s="18" t="n">
        <v>11</v>
      </c>
      <c r="C127" s="18" t="s">
        <v>1094</v>
      </c>
      <c r="D127" s="18" t="s">
        <v>1095</v>
      </c>
      <c r="E127" s="18" t="s">
        <v>1096</v>
      </c>
      <c r="F127" s="18" t="s">
        <v>1097</v>
      </c>
      <c r="G127" s="18" t="s">
        <v>1098</v>
      </c>
      <c r="H127" s="18" t="s">
        <v>1099</v>
      </c>
      <c r="I127" s="18" t="s">
        <v>274</v>
      </c>
      <c r="J127" s="18" t="s">
        <v>103</v>
      </c>
      <c r="K127" s="18" t="s">
        <v>137</v>
      </c>
      <c r="L127" s="18" t="s">
        <v>147</v>
      </c>
      <c r="M127" s="18" t="s">
        <v>1100</v>
      </c>
      <c r="N127" s="18" t="s">
        <v>1101</v>
      </c>
      <c r="O127" s="18"/>
      <c r="P127" s="18" t="s">
        <v>16</v>
      </c>
    </row>
    <row r="128" customFormat="false" ht="23.85" hidden="false" customHeight="false" outlineLevel="0" collapsed="false">
      <c r="A128" s="17" t="s">
        <v>1102</v>
      </c>
      <c r="B128" s="17" t="n">
        <v>12</v>
      </c>
      <c r="C128" s="17" t="s">
        <v>1103</v>
      </c>
      <c r="D128" s="17" t="s">
        <v>1104</v>
      </c>
      <c r="E128" s="17" t="s">
        <v>1105</v>
      </c>
      <c r="F128" s="17" t="s">
        <v>1106</v>
      </c>
      <c r="G128" s="17" t="s">
        <v>1107</v>
      </c>
      <c r="H128" s="17" t="s">
        <v>574</v>
      </c>
      <c r="I128" s="17" t="s">
        <v>136</v>
      </c>
      <c r="J128" s="17" t="s">
        <v>103</v>
      </c>
      <c r="K128" s="17" t="s">
        <v>137</v>
      </c>
      <c r="L128" s="17" t="s">
        <v>181</v>
      </c>
      <c r="M128" s="17" t="s">
        <v>1108</v>
      </c>
      <c r="N128" s="17" t="s">
        <v>1109</v>
      </c>
      <c r="O128" s="17" t="s">
        <v>1110</v>
      </c>
      <c r="P128" s="17" t="s">
        <v>14</v>
      </c>
    </row>
    <row r="129" customFormat="false" ht="23.85" hidden="false" customHeight="false" outlineLevel="0" collapsed="false">
      <c r="A129" s="18" t="s">
        <v>1102</v>
      </c>
      <c r="B129" s="18" t="n">
        <v>12</v>
      </c>
      <c r="C129" s="18" t="s">
        <v>1111</v>
      </c>
      <c r="D129" s="18" t="s">
        <v>1112</v>
      </c>
      <c r="E129" s="18" t="s">
        <v>1113</v>
      </c>
      <c r="F129" s="18" t="s">
        <v>1114</v>
      </c>
      <c r="G129" s="18" t="s">
        <v>1115</v>
      </c>
      <c r="H129" s="18" t="s">
        <v>1116</v>
      </c>
      <c r="I129" s="18" t="s">
        <v>136</v>
      </c>
      <c r="J129" s="18" t="s">
        <v>103</v>
      </c>
      <c r="K129" s="18" t="s">
        <v>137</v>
      </c>
      <c r="L129" s="18" t="s">
        <v>379</v>
      </c>
      <c r="M129" s="18" t="s">
        <v>1117</v>
      </c>
      <c r="N129" s="18" t="s">
        <v>1118</v>
      </c>
      <c r="O129" s="18"/>
      <c r="P129" s="18" t="s">
        <v>14</v>
      </c>
    </row>
    <row r="130" customFormat="false" ht="15" hidden="false" customHeight="false" outlineLevel="0" collapsed="false">
      <c r="A130" s="17" t="s">
        <v>1102</v>
      </c>
      <c r="B130" s="17" t="n">
        <v>12</v>
      </c>
      <c r="C130" s="17" t="s">
        <v>1119</v>
      </c>
      <c r="D130" s="17" t="s">
        <v>1120</v>
      </c>
      <c r="E130" s="17" t="s">
        <v>1121</v>
      </c>
      <c r="F130" s="17" t="s">
        <v>1122</v>
      </c>
      <c r="G130" s="17" t="s">
        <v>1123</v>
      </c>
      <c r="H130" s="17" t="s">
        <v>1103</v>
      </c>
      <c r="I130" s="17" t="s">
        <v>172</v>
      </c>
      <c r="J130" s="17" t="s">
        <v>103</v>
      </c>
      <c r="K130" s="17" t="s">
        <v>137</v>
      </c>
      <c r="L130" s="17" t="s">
        <v>181</v>
      </c>
      <c r="M130" s="17" t="s">
        <v>1124</v>
      </c>
      <c r="N130" s="17" t="s">
        <v>1125</v>
      </c>
      <c r="O130" s="17"/>
      <c r="P130" s="17" t="s">
        <v>16</v>
      </c>
    </row>
    <row r="131" customFormat="false" ht="23.85" hidden="false" customHeight="false" outlineLevel="0" collapsed="false">
      <c r="A131" s="18" t="s">
        <v>1102</v>
      </c>
      <c r="B131" s="18" t="n">
        <v>12</v>
      </c>
      <c r="C131" s="18" t="s">
        <v>1126</v>
      </c>
      <c r="D131" s="18" t="s">
        <v>1127</v>
      </c>
      <c r="E131" s="18" t="s">
        <v>1128</v>
      </c>
      <c r="F131" s="18" t="s">
        <v>1129</v>
      </c>
      <c r="G131" s="18" t="s">
        <v>1130</v>
      </c>
      <c r="H131" s="18" t="s">
        <v>1103</v>
      </c>
      <c r="I131" s="18" t="s">
        <v>136</v>
      </c>
      <c r="J131" s="18" t="s">
        <v>103</v>
      </c>
      <c r="K131" s="18" t="s">
        <v>137</v>
      </c>
      <c r="L131" s="18" t="s">
        <v>181</v>
      </c>
      <c r="M131" s="18" t="s">
        <v>1127</v>
      </c>
      <c r="N131" s="18" t="s">
        <v>1131</v>
      </c>
      <c r="O131" s="18" t="s">
        <v>588</v>
      </c>
      <c r="P131" s="18" t="s">
        <v>14</v>
      </c>
    </row>
    <row r="132" customFormat="false" ht="15" hidden="false" customHeight="false" outlineLevel="0" collapsed="false">
      <c r="A132" s="17" t="s">
        <v>1102</v>
      </c>
      <c r="B132" s="17" t="n">
        <v>12</v>
      </c>
      <c r="C132" s="17" t="s">
        <v>1132</v>
      </c>
      <c r="D132" s="17" t="s">
        <v>1133</v>
      </c>
      <c r="E132" s="17" t="s">
        <v>1134</v>
      </c>
      <c r="F132" s="17" t="s">
        <v>1135</v>
      </c>
      <c r="G132" s="17" t="s">
        <v>1136</v>
      </c>
      <c r="H132" s="17" t="s">
        <v>1111</v>
      </c>
      <c r="I132" s="17" t="s">
        <v>274</v>
      </c>
      <c r="J132" s="17" t="s">
        <v>103</v>
      </c>
      <c r="K132" s="17" t="s">
        <v>137</v>
      </c>
      <c r="L132" s="17" t="s">
        <v>181</v>
      </c>
      <c r="M132" s="17" t="s">
        <v>1133</v>
      </c>
      <c r="N132" s="17" t="s">
        <v>1137</v>
      </c>
      <c r="O132" s="17"/>
      <c r="P132" s="17" t="s">
        <v>16</v>
      </c>
    </row>
    <row r="133" customFormat="false" ht="15" hidden="false" customHeight="false" outlineLevel="0" collapsed="false">
      <c r="A133" s="18" t="s">
        <v>1102</v>
      </c>
      <c r="B133" s="18" t="n">
        <v>12</v>
      </c>
      <c r="C133" s="18" t="s">
        <v>1138</v>
      </c>
      <c r="D133" s="18" t="s">
        <v>1139</v>
      </c>
      <c r="E133" s="18" t="s">
        <v>1140</v>
      </c>
      <c r="F133" s="18" t="s">
        <v>1141</v>
      </c>
      <c r="G133" s="18" t="s">
        <v>1142</v>
      </c>
      <c r="H133" s="18" t="s">
        <v>1143</v>
      </c>
      <c r="I133" s="18" t="s">
        <v>172</v>
      </c>
      <c r="J133" s="18" t="s">
        <v>103</v>
      </c>
      <c r="K133" s="18" t="s">
        <v>137</v>
      </c>
      <c r="L133" s="18" t="s">
        <v>181</v>
      </c>
      <c r="M133" s="18" t="s">
        <v>1144</v>
      </c>
      <c r="N133" s="18" t="s">
        <v>1145</v>
      </c>
      <c r="O133" s="18"/>
      <c r="P133" s="18" t="s">
        <v>16</v>
      </c>
    </row>
    <row r="134" customFormat="false" ht="23.85" hidden="false" customHeight="false" outlineLevel="0" collapsed="false">
      <c r="A134" s="17" t="s">
        <v>1146</v>
      </c>
      <c r="B134" s="17" t="n">
        <v>13</v>
      </c>
      <c r="C134" s="17" t="s">
        <v>1147</v>
      </c>
      <c r="D134" s="17" t="s">
        <v>1148</v>
      </c>
      <c r="E134" s="17" t="s">
        <v>1149</v>
      </c>
      <c r="F134" s="17" t="s">
        <v>1150</v>
      </c>
      <c r="G134" s="17" t="s">
        <v>1151</v>
      </c>
      <c r="H134" s="17" t="s">
        <v>1111</v>
      </c>
      <c r="I134" s="17" t="s">
        <v>136</v>
      </c>
      <c r="J134" s="17" t="s">
        <v>103</v>
      </c>
      <c r="K134" s="17" t="s">
        <v>137</v>
      </c>
      <c r="L134" s="17" t="s">
        <v>379</v>
      </c>
      <c r="M134" s="17" t="s">
        <v>1148</v>
      </c>
      <c r="N134" s="17" t="s">
        <v>1152</v>
      </c>
      <c r="O134" s="17" t="s">
        <v>1153</v>
      </c>
      <c r="P134" s="17" t="s">
        <v>14</v>
      </c>
    </row>
    <row r="135" customFormat="false" ht="23.85" hidden="false" customHeight="false" outlineLevel="0" collapsed="false">
      <c r="A135" s="18" t="s">
        <v>1146</v>
      </c>
      <c r="B135" s="18" t="n">
        <v>13</v>
      </c>
      <c r="C135" s="18" t="s">
        <v>1154</v>
      </c>
      <c r="D135" s="18" t="s">
        <v>1155</v>
      </c>
      <c r="E135" s="18" t="s">
        <v>1156</v>
      </c>
      <c r="F135" s="18" t="s">
        <v>1157</v>
      </c>
      <c r="G135" s="18" t="s">
        <v>1158</v>
      </c>
      <c r="H135" s="18" t="s">
        <v>1159</v>
      </c>
      <c r="I135" s="18" t="s">
        <v>136</v>
      </c>
      <c r="J135" s="18" t="s">
        <v>103</v>
      </c>
      <c r="K135" s="18" t="s">
        <v>137</v>
      </c>
      <c r="L135" s="18" t="s">
        <v>379</v>
      </c>
      <c r="M135" s="18" t="s">
        <v>1160</v>
      </c>
      <c r="N135" s="18" t="s">
        <v>1161</v>
      </c>
      <c r="O135" s="18" t="s">
        <v>709</v>
      </c>
      <c r="P135" s="18" t="s">
        <v>14</v>
      </c>
    </row>
    <row r="136" customFormat="false" ht="23.85" hidden="false" customHeight="false" outlineLevel="0" collapsed="false">
      <c r="A136" s="17" t="s">
        <v>1146</v>
      </c>
      <c r="B136" s="17" t="n">
        <v>13</v>
      </c>
      <c r="C136" s="17" t="s">
        <v>1162</v>
      </c>
      <c r="D136" s="17" t="s">
        <v>1163</v>
      </c>
      <c r="E136" s="17" t="s">
        <v>1164</v>
      </c>
      <c r="F136" s="17" t="s">
        <v>1165</v>
      </c>
      <c r="G136" s="17" t="s">
        <v>1166</v>
      </c>
      <c r="H136" s="17" t="s">
        <v>1147</v>
      </c>
      <c r="I136" s="17" t="s">
        <v>172</v>
      </c>
      <c r="J136" s="17" t="s">
        <v>103</v>
      </c>
      <c r="K136" s="17" t="s">
        <v>137</v>
      </c>
      <c r="L136" s="17" t="s">
        <v>147</v>
      </c>
      <c r="M136" s="17" t="s">
        <v>1167</v>
      </c>
      <c r="N136" s="17" t="s">
        <v>1168</v>
      </c>
      <c r="O136" s="17" t="s">
        <v>709</v>
      </c>
      <c r="P136" s="17" t="s">
        <v>14</v>
      </c>
    </row>
    <row r="137" customFormat="false" ht="23.85" hidden="false" customHeight="false" outlineLevel="0" collapsed="false">
      <c r="A137" s="18" t="s">
        <v>1146</v>
      </c>
      <c r="B137" s="18" t="n">
        <v>13</v>
      </c>
      <c r="C137" s="18" t="s">
        <v>1169</v>
      </c>
      <c r="D137" s="18" t="s">
        <v>1170</v>
      </c>
      <c r="E137" s="18" t="s">
        <v>1171</v>
      </c>
      <c r="F137" s="18" t="s">
        <v>1172</v>
      </c>
      <c r="G137" s="18" t="s">
        <v>1173</v>
      </c>
      <c r="H137" s="18" t="s">
        <v>1174</v>
      </c>
      <c r="I137" s="18" t="s">
        <v>136</v>
      </c>
      <c r="J137" s="18" t="s">
        <v>103</v>
      </c>
      <c r="K137" s="18" t="s">
        <v>137</v>
      </c>
      <c r="L137" s="18" t="s">
        <v>181</v>
      </c>
      <c r="M137" s="18" t="s">
        <v>1175</v>
      </c>
      <c r="N137" s="18" t="s">
        <v>1176</v>
      </c>
      <c r="O137" s="18" t="s">
        <v>588</v>
      </c>
      <c r="P137" s="18" t="s">
        <v>14</v>
      </c>
    </row>
    <row r="138" customFormat="false" ht="23.85" hidden="false" customHeight="false" outlineLevel="0" collapsed="false">
      <c r="A138" s="17" t="s">
        <v>1146</v>
      </c>
      <c r="B138" s="17" t="n">
        <v>13</v>
      </c>
      <c r="C138" s="17" t="s">
        <v>1177</v>
      </c>
      <c r="D138" s="17" t="s">
        <v>1178</v>
      </c>
      <c r="E138" s="17" t="s">
        <v>1179</v>
      </c>
      <c r="F138" s="17" t="s">
        <v>1180</v>
      </c>
      <c r="G138" s="17" t="s">
        <v>1181</v>
      </c>
      <c r="H138" s="17" t="s">
        <v>1182</v>
      </c>
      <c r="I138" s="17" t="s">
        <v>172</v>
      </c>
      <c r="J138" s="17" t="s">
        <v>103</v>
      </c>
      <c r="K138" s="17" t="s">
        <v>137</v>
      </c>
      <c r="L138" s="17" t="s">
        <v>379</v>
      </c>
      <c r="M138" s="17" t="s">
        <v>1183</v>
      </c>
      <c r="N138" s="17" t="s">
        <v>1184</v>
      </c>
      <c r="O138" s="17" t="s">
        <v>1185</v>
      </c>
      <c r="P138" s="17" t="s">
        <v>14</v>
      </c>
    </row>
    <row r="139" customFormat="false" ht="23.85" hidden="false" customHeight="false" outlineLevel="0" collapsed="false">
      <c r="A139" s="18" t="s">
        <v>1146</v>
      </c>
      <c r="B139" s="18" t="n">
        <v>13</v>
      </c>
      <c r="C139" s="18" t="s">
        <v>1186</v>
      </c>
      <c r="D139" s="18" t="s">
        <v>1187</v>
      </c>
      <c r="E139" s="18" t="s">
        <v>1188</v>
      </c>
      <c r="F139" s="18" t="s">
        <v>1189</v>
      </c>
      <c r="G139" s="18" t="s">
        <v>1190</v>
      </c>
      <c r="H139" s="18" t="s">
        <v>1177</v>
      </c>
      <c r="I139" s="18" t="s">
        <v>136</v>
      </c>
      <c r="J139" s="18" t="s">
        <v>103</v>
      </c>
      <c r="K139" s="18" t="s">
        <v>137</v>
      </c>
      <c r="L139" s="18" t="s">
        <v>147</v>
      </c>
      <c r="M139" s="18" t="s">
        <v>1191</v>
      </c>
      <c r="N139" s="18" t="s">
        <v>1192</v>
      </c>
      <c r="O139" s="18" t="s">
        <v>1193</v>
      </c>
      <c r="P139" s="18" t="s">
        <v>14</v>
      </c>
    </row>
    <row r="140" customFormat="false" ht="23.85" hidden="false" customHeight="false" outlineLevel="0" collapsed="false">
      <c r="A140" s="17" t="s">
        <v>1146</v>
      </c>
      <c r="B140" s="17" t="n">
        <v>13</v>
      </c>
      <c r="C140" s="17" t="s">
        <v>1194</v>
      </c>
      <c r="D140" s="17" t="s">
        <v>1195</v>
      </c>
      <c r="E140" s="17" t="s">
        <v>1196</v>
      </c>
      <c r="F140" s="17" t="s">
        <v>1197</v>
      </c>
      <c r="G140" s="17" t="s">
        <v>1198</v>
      </c>
      <c r="H140" s="17" t="s">
        <v>1154</v>
      </c>
      <c r="I140" s="17" t="s">
        <v>172</v>
      </c>
      <c r="J140" s="17" t="s">
        <v>103</v>
      </c>
      <c r="K140" s="17" t="s">
        <v>137</v>
      </c>
      <c r="L140" s="17" t="s">
        <v>181</v>
      </c>
      <c r="M140" s="17" t="s">
        <v>1199</v>
      </c>
      <c r="N140" s="17" t="s">
        <v>1200</v>
      </c>
      <c r="O140" s="17" t="s">
        <v>1201</v>
      </c>
      <c r="P140" s="17" t="s">
        <v>14</v>
      </c>
    </row>
    <row r="141" customFormat="false" ht="23.85" hidden="false" customHeight="false" outlineLevel="0" collapsed="false">
      <c r="A141" s="18" t="s">
        <v>1146</v>
      </c>
      <c r="B141" s="18" t="n">
        <v>13</v>
      </c>
      <c r="C141" s="18" t="s">
        <v>1202</v>
      </c>
      <c r="D141" s="18" t="s">
        <v>1203</v>
      </c>
      <c r="E141" s="18" t="s">
        <v>1204</v>
      </c>
      <c r="F141" s="18" t="s">
        <v>1205</v>
      </c>
      <c r="G141" s="18" t="s">
        <v>1206</v>
      </c>
      <c r="H141" s="18" t="s">
        <v>1207</v>
      </c>
      <c r="I141" s="18" t="s">
        <v>136</v>
      </c>
      <c r="J141" s="18" t="s">
        <v>103</v>
      </c>
      <c r="K141" s="18" t="s">
        <v>137</v>
      </c>
      <c r="L141" s="18" t="s">
        <v>181</v>
      </c>
      <c r="M141" s="18" t="s">
        <v>1208</v>
      </c>
      <c r="N141" s="18" t="s">
        <v>1209</v>
      </c>
      <c r="O141" s="18" t="s">
        <v>1210</v>
      </c>
      <c r="P141" s="18" t="s">
        <v>14</v>
      </c>
    </row>
    <row r="142" customFormat="false" ht="23.85" hidden="false" customHeight="false" outlineLevel="0" collapsed="false">
      <c r="A142" s="17" t="s">
        <v>1211</v>
      </c>
      <c r="B142" s="17" t="n">
        <v>14</v>
      </c>
      <c r="C142" s="17" t="s">
        <v>1212</v>
      </c>
      <c r="D142" s="17" t="s">
        <v>1213</v>
      </c>
      <c r="E142" s="17" t="s">
        <v>1214</v>
      </c>
      <c r="F142" s="17" t="s">
        <v>1215</v>
      </c>
      <c r="G142" s="17" t="s">
        <v>1216</v>
      </c>
      <c r="H142" s="17" t="s">
        <v>1217</v>
      </c>
      <c r="I142" s="17" t="s">
        <v>136</v>
      </c>
      <c r="J142" s="17" t="s">
        <v>103</v>
      </c>
      <c r="K142" s="17" t="s">
        <v>137</v>
      </c>
      <c r="L142" s="17" t="s">
        <v>379</v>
      </c>
      <c r="M142" s="17" t="s">
        <v>1218</v>
      </c>
      <c r="N142" s="17" t="s">
        <v>1219</v>
      </c>
      <c r="O142" s="17" t="s">
        <v>1220</v>
      </c>
      <c r="P142" s="17" t="s">
        <v>14</v>
      </c>
    </row>
    <row r="143" customFormat="false" ht="23.85" hidden="false" customHeight="false" outlineLevel="0" collapsed="false">
      <c r="A143" s="18" t="s">
        <v>1211</v>
      </c>
      <c r="B143" s="18" t="n">
        <v>14</v>
      </c>
      <c r="C143" s="18" t="s">
        <v>1221</v>
      </c>
      <c r="D143" s="18" t="s">
        <v>1222</v>
      </c>
      <c r="E143" s="18" t="s">
        <v>1223</v>
      </c>
      <c r="F143" s="18" t="s">
        <v>1224</v>
      </c>
      <c r="G143" s="18" t="s">
        <v>1225</v>
      </c>
      <c r="H143" s="18" t="s">
        <v>1212</v>
      </c>
      <c r="I143" s="18" t="s">
        <v>136</v>
      </c>
      <c r="J143" s="18" t="s">
        <v>103</v>
      </c>
      <c r="K143" s="18" t="s">
        <v>137</v>
      </c>
      <c r="L143" s="18" t="s">
        <v>181</v>
      </c>
      <c r="M143" s="18" t="s">
        <v>1226</v>
      </c>
      <c r="N143" s="18" t="s">
        <v>1227</v>
      </c>
      <c r="O143" s="18" t="s">
        <v>1228</v>
      </c>
      <c r="P143" s="18" t="s">
        <v>14</v>
      </c>
    </row>
    <row r="144" customFormat="false" ht="23.85" hidden="false" customHeight="false" outlineLevel="0" collapsed="false">
      <c r="A144" s="17" t="s">
        <v>1211</v>
      </c>
      <c r="B144" s="17" t="n">
        <v>14</v>
      </c>
      <c r="C144" s="17" t="s">
        <v>1229</v>
      </c>
      <c r="D144" s="17" t="s">
        <v>1230</v>
      </c>
      <c r="E144" s="17" t="s">
        <v>1231</v>
      </c>
      <c r="F144" s="17" t="s">
        <v>1232</v>
      </c>
      <c r="G144" s="17" t="s">
        <v>1233</v>
      </c>
      <c r="H144" s="17" t="s">
        <v>1221</v>
      </c>
      <c r="I144" s="17" t="s">
        <v>136</v>
      </c>
      <c r="J144" s="17" t="s">
        <v>103</v>
      </c>
      <c r="K144" s="17" t="s">
        <v>137</v>
      </c>
      <c r="L144" s="17" t="s">
        <v>181</v>
      </c>
      <c r="M144" s="17" t="s">
        <v>1234</v>
      </c>
      <c r="N144" s="17" t="s">
        <v>1235</v>
      </c>
      <c r="O144" s="17" t="s">
        <v>1236</v>
      </c>
      <c r="P144" s="17" t="s">
        <v>14</v>
      </c>
    </row>
    <row r="145" customFormat="false" ht="23.85" hidden="false" customHeight="false" outlineLevel="0" collapsed="false">
      <c r="A145" s="18" t="s">
        <v>1211</v>
      </c>
      <c r="B145" s="18" t="n">
        <v>14</v>
      </c>
      <c r="C145" s="18" t="s">
        <v>1237</v>
      </c>
      <c r="D145" s="18" t="s">
        <v>1238</v>
      </c>
      <c r="E145" s="18" t="s">
        <v>1239</v>
      </c>
      <c r="F145" s="18" t="s">
        <v>1240</v>
      </c>
      <c r="G145" s="18" t="s">
        <v>1241</v>
      </c>
      <c r="H145" s="18" t="s">
        <v>1229</v>
      </c>
      <c r="I145" s="18" t="s">
        <v>136</v>
      </c>
      <c r="J145" s="18" t="s">
        <v>103</v>
      </c>
      <c r="K145" s="18" t="s">
        <v>137</v>
      </c>
      <c r="L145" s="18" t="s">
        <v>181</v>
      </c>
      <c r="M145" s="18" t="s">
        <v>1242</v>
      </c>
      <c r="N145" s="18" t="s">
        <v>1243</v>
      </c>
      <c r="O145" s="18" t="s">
        <v>1244</v>
      </c>
      <c r="P145" s="18" t="s">
        <v>18</v>
      </c>
    </row>
    <row r="146" customFormat="false" ht="23.85" hidden="false" customHeight="false" outlineLevel="0" collapsed="false">
      <c r="A146" s="17" t="s">
        <v>1211</v>
      </c>
      <c r="B146" s="17" t="n">
        <v>14</v>
      </c>
      <c r="C146" s="17" t="s">
        <v>1245</v>
      </c>
      <c r="D146" s="17" t="s">
        <v>1246</v>
      </c>
      <c r="E146" s="17" t="s">
        <v>1247</v>
      </c>
      <c r="F146" s="17" t="s">
        <v>1248</v>
      </c>
      <c r="G146" s="17" t="s">
        <v>1249</v>
      </c>
      <c r="H146" s="17" t="s">
        <v>1250</v>
      </c>
      <c r="I146" s="17" t="s">
        <v>172</v>
      </c>
      <c r="J146" s="17" t="s">
        <v>103</v>
      </c>
      <c r="K146" s="17" t="s">
        <v>137</v>
      </c>
      <c r="L146" s="17" t="s">
        <v>181</v>
      </c>
      <c r="M146" s="17" t="s">
        <v>1251</v>
      </c>
      <c r="N146" s="17" t="s">
        <v>1252</v>
      </c>
      <c r="O146" s="17" t="s">
        <v>1253</v>
      </c>
      <c r="P146" s="17" t="s">
        <v>14</v>
      </c>
    </row>
    <row r="147" customFormat="false" ht="23.85" hidden="false" customHeight="false" outlineLevel="0" collapsed="false">
      <c r="A147" s="18" t="s">
        <v>1211</v>
      </c>
      <c r="B147" s="18" t="n">
        <v>14</v>
      </c>
      <c r="C147" s="18" t="s">
        <v>1254</v>
      </c>
      <c r="D147" s="18" t="s">
        <v>1255</v>
      </c>
      <c r="E147" s="18" t="s">
        <v>1256</v>
      </c>
      <c r="F147" s="18" t="s">
        <v>1257</v>
      </c>
      <c r="G147" s="18" t="s">
        <v>1258</v>
      </c>
      <c r="H147" s="18" t="s">
        <v>1212</v>
      </c>
      <c r="I147" s="18" t="s">
        <v>172</v>
      </c>
      <c r="J147" s="18" t="s">
        <v>103</v>
      </c>
      <c r="K147" s="18" t="s">
        <v>137</v>
      </c>
      <c r="L147" s="18" t="s">
        <v>181</v>
      </c>
      <c r="M147" s="18" t="s">
        <v>1259</v>
      </c>
      <c r="N147" s="18" t="s">
        <v>1260</v>
      </c>
      <c r="O147" s="18" t="s">
        <v>1261</v>
      </c>
      <c r="P147" s="18" t="s">
        <v>14</v>
      </c>
    </row>
    <row r="148" customFormat="false" ht="23.85" hidden="false" customHeight="false" outlineLevel="0" collapsed="false">
      <c r="A148" s="17" t="s">
        <v>1211</v>
      </c>
      <c r="B148" s="17" t="n">
        <v>14</v>
      </c>
      <c r="C148" s="17" t="s">
        <v>1262</v>
      </c>
      <c r="D148" s="17" t="s">
        <v>1263</v>
      </c>
      <c r="E148" s="17" t="s">
        <v>1264</v>
      </c>
      <c r="F148" s="17" t="s">
        <v>1265</v>
      </c>
      <c r="G148" s="17" t="s">
        <v>1266</v>
      </c>
      <c r="H148" s="17" t="s">
        <v>1267</v>
      </c>
      <c r="I148" s="17" t="s">
        <v>172</v>
      </c>
      <c r="J148" s="17" t="s">
        <v>103</v>
      </c>
      <c r="K148" s="17" t="s">
        <v>137</v>
      </c>
      <c r="L148" s="17" t="s">
        <v>147</v>
      </c>
      <c r="M148" s="17" t="s">
        <v>1268</v>
      </c>
      <c r="N148" s="17" t="s">
        <v>1269</v>
      </c>
      <c r="O148" s="17" t="s">
        <v>1270</v>
      </c>
      <c r="P148" s="17" t="s">
        <v>14</v>
      </c>
    </row>
    <row r="149" customFormat="false" ht="23.85" hidden="false" customHeight="false" outlineLevel="0" collapsed="false">
      <c r="A149" s="18" t="s">
        <v>1211</v>
      </c>
      <c r="B149" s="18" t="n">
        <v>14</v>
      </c>
      <c r="C149" s="18" t="s">
        <v>1271</v>
      </c>
      <c r="D149" s="18" t="s">
        <v>1272</v>
      </c>
      <c r="E149" s="18" t="s">
        <v>1273</v>
      </c>
      <c r="F149" s="18" t="s">
        <v>1274</v>
      </c>
      <c r="G149" s="18" t="s">
        <v>1275</v>
      </c>
      <c r="H149" s="18" t="s">
        <v>1229</v>
      </c>
      <c r="I149" s="18" t="s">
        <v>172</v>
      </c>
      <c r="J149" s="18" t="s">
        <v>103</v>
      </c>
      <c r="K149" s="18" t="s">
        <v>137</v>
      </c>
      <c r="L149" s="18" t="s">
        <v>181</v>
      </c>
      <c r="M149" s="18" t="s">
        <v>1276</v>
      </c>
      <c r="N149" s="18" t="s">
        <v>1277</v>
      </c>
      <c r="O149" s="18" t="s">
        <v>1278</v>
      </c>
      <c r="P149" s="18" t="s">
        <v>14</v>
      </c>
    </row>
    <row r="150" customFormat="false" ht="23.85" hidden="false" customHeight="false" outlineLevel="0" collapsed="false">
      <c r="A150" s="17" t="s">
        <v>1211</v>
      </c>
      <c r="B150" s="17" t="n">
        <v>14</v>
      </c>
      <c r="C150" s="17" t="s">
        <v>1279</v>
      </c>
      <c r="D150" s="17" t="s">
        <v>1280</v>
      </c>
      <c r="E150" s="17" t="s">
        <v>1281</v>
      </c>
      <c r="F150" s="17" t="s">
        <v>1282</v>
      </c>
      <c r="G150" s="17" t="s">
        <v>1283</v>
      </c>
      <c r="H150" s="17" t="s">
        <v>1271</v>
      </c>
      <c r="I150" s="17" t="s">
        <v>172</v>
      </c>
      <c r="J150" s="17" t="s">
        <v>103</v>
      </c>
      <c r="K150" s="17" t="s">
        <v>137</v>
      </c>
      <c r="L150" s="17" t="s">
        <v>147</v>
      </c>
      <c r="M150" s="17" t="s">
        <v>1284</v>
      </c>
      <c r="N150" s="17" t="s">
        <v>1285</v>
      </c>
      <c r="O150" s="17"/>
      <c r="P150" s="17" t="s">
        <v>14</v>
      </c>
    </row>
    <row r="151" customFormat="false" ht="23.85" hidden="false" customHeight="false" outlineLevel="0" collapsed="false">
      <c r="A151" s="18" t="s">
        <v>1211</v>
      </c>
      <c r="B151" s="18" t="n">
        <v>14</v>
      </c>
      <c r="C151" s="18" t="s">
        <v>1286</v>
      </c>
      <c r="D151" s="18" t="s">
        <v>1287</v>
      </c>
      <c r="E151" s="18" t="s">
        <v>1288</v>
      </c>
      <c r="F151" s="18" t="s">
        <v>1289</v>
      </c>
      <c r="G151" s="18" t="s">
        <v>1290</v>
      </c>
      <c r="H151" s="18" t="s">
        <v>1267</v>
      </c>
      <c r="I151" s="18" t="s">
        <v>172</v>
      </c>
      <c r="J151" s="18" t="s">
        <v>103</v>
      </c>
      <c r="K151" s="18" t="s">
        <v>137</v>
      </c>
      <c r="L151" s="18" t="s">
        <v>181</v>
      </c>
      <c r="M151" s="18" t="s">
        <v>1291</v>
      </c>
      <c r="N151" s="18" t="s">
        <v>1292</v>
      </c>
      <c r="O151" s="18" t="s">
        <v>1293</v>
      </c>
      <c r="P151" s="18" t="s">
        <v>14</v>
      </c>
    </row>
    <row r="152" customFormat="false" ht="23.85" hidden="false" customHeight="false" outlineLevel="0" collapsed="false">
      <c r="A152" s="17" t="s">
        <v>1211</v>
      </c>
      <c r="B152" s="17" t="n">
        <v>14</v>
      </c>
      <c r="C152" s="17" t="s">
        <v>1294</v>
      </c>
      <c r="D152" s="17" t="s">
        <v>1295</v>
      </c>
      <c r="E152" s="17" t="s">
        <v>1296</v>
      </c>
      <c r="F152" s="17" t="s">
        <v>1297</v>
      </c>
      <c r="G152" s="17" t="s">
        <v>1298</v>
      </c>
      <c r="H152" s="17" t="s">
        <v>902</v>
      </c>
      <c r="I152" s="17" t="s">
        <v>274</v>
      </c>
      <c r="J152" s="17" t="s">
        <v>103</v>
      </c>
      <c r="K152" s="17" t="s">
        <v>137</v>
      </c>
      <c r="L152" s="17" t="s">
        <v>147</v>
      </c>
      <c r="M152" s="17" t="s">
        <v>1299</v>
      </c>
      <c r="N152" s="17" t="s">
        <v>1300</v>
      </c>
      <c r="O152" s="17" t="s">
        <v>1301</v>
      </c>
      <c r="P152" s="17" t="s">
        <v>14</v>
      </c>
    </row>
    <row r="153" customFormat="false" ht="15" hidden="false" customHeight="false" outlineLevel="0" collapsed="false">
      <c r="A153" s="18" t="s">
        <v>1211</v>
      </c>
      <c r="B153" s="18" t="n">
        <v>14</v>
      </c>
      <c r="C153" s="18" t="s">
        <v>1302</v>
      </c>
      <c r="D153" s="18" t="s">
        <v>1303</v>
      </c>
      <c r="E153" s="18" t="s">
        <v>1304</v>
      </c>
      <c r="F153" s="18" t="s">
        <v>1305</v>
      </c>
      <c r="G153" s="18" t="s">
        <v>1306</v>
      </c>
      <c r="H153" s="18" t="s">
        <v>1307</v>
      </c>
      <c r="I153" s="18" t="s">
        <v>172</v>
      </c>
      <c r="J153" s="18" t="s">
        <v>103</v>
      </c>
      <c r="K153" s="18" t="s">
        <v>137</v>
      </c>
      <c r="L153" s="18" t="s">
        <v>147</v>
      </c>
      <c r="M153" s="18" t="s">
        <v>1308</v>
      </c>
      <c r="N153" s="18" t="s">
        <v>1309</v>
      </c>
      <c r="O153" s="18"/>
      <c r="P153" s="18" t="s">
        <v>16</v>
      </c>
    </row>
    <row r="154" customFormat="false" ht="23.85" hidden="false" customHeight="false" outlineLevel="0" collapsed="false">
      <c r="A154" s="17" t="s">
        <v>1211</v>
      </c>
      <c r="B154" s="17" t="n">
        <v>14</v>
      </c>
      <c r="C154" s="17" t="s">
        <v>1310</v>
      </c>
      <c r="D154" s="17" t="s">
        <v>1311</v>
      </c>
      <c r="E154" s="17" t="s">
        <v>1312</v>
      </c>
      <c r="F154" s="17" t="s">
        <v>1313</v>
      </c>
      <c r="G154" s="17" t="s">
        <v>1314</v>
      </c>
      <c r="H154" s="17" t="s">
        <v>1315</v>
      </c>
      <c r="I154" s="17" t="s">
        <v>172</v>
      </c>
      <c r="J154" s="17" t="s">
        <v>103</v>
      </c>
      <c r="K154" s="17" t="s">
        <v>137</v>
      </c>
      <c r="L154" s="17" t="s">
        <v>138</v>
      </c>
      <c r="M154" s="17" t="s">
        <v>1316</v>
      </c>
      <c r="N154" s="17" t="s">
        <v>1317</v>
      </c>
      <c r="O154" s="17" t="s">
        <v>1318</v>
      </c>
      <c r="P154" s="17" t="s">
        <v>14</v>
      </c>
    </row>
    <row r="155" customFormat="false" ht="23.85" hidden="false" customHeight="false" outlineLevel="0" collapsed="false">
      <c r="A155" s="18" t="s">
        <v>1319</v>
      </c>
      <c r="B155" s="18" t="n">
        <v>15</v>
      </c>
      <c r="C155" s="18" t="s">
        <v>1320</v>
      </c>
      <c r="D155" s="18" t="s">
        <v>1321</v>
      </c>
      <c r="E155" s="18" t="s">
        <v>1322</v>
      </c>
      <c r="F155" s="18" t="s">
        <v>1323</v>
      </c>
      <c r="G155" s="18" t="s">
        <v>1324</v>
      </c>
      <c r="H155" s="18" t="s">
        <v>495</v>
      </c>
      <c r="I155" s="18" t="s">
        <v>136</v>
      </c>
      <c r="J155" s="18" t="s">
        <v>103</v>
      </c>
      <c r="K155" s="18" t="s">
        <v>137</v>
      </c>
      <c r="L155" s="18" t="s">
        <v>181</v>
      </c>
      <c r="M155" s="18" t="s">
        <v>1325</v>
      </c>
      <c r="N155" s="18" t="s">
        <v>1326</v>
      </c>
      <c r="O155" s="18" t="s">
        <v>1327</v>
      </c>
      <c r="P155" s="18" t="s">
        <v>14</v>
      </c>
    </row>
    <row r="156" customFormat="false" ht="23.85" hidden="false" customHeight="false" outlineLevel="0" collapsed="false">
      <c r="A156" s="17" t="s">
        <v>1319</v>
      </c>
      <c r="B156" s="17" t="n">
        <v>15</v>
      </c>
      <c r="C156" s="17" t="s">
        <v>1328</v>
      </c>
      <c r="D156" s="17" t="s">
        <v>1329</v>
      </c>
      <c r="E156" s="17" t="s">
        <v>1330</v>
      </c>
      <c r="F156" s="17" t="s">
        <v>1331</v>
      </c>
      <c r="G156" s="17" t="s">
        <v>1332</v>
      </c>
      <c r="H156" s="17" t="s">
        <v>1333</v>
      </c>
      <c r="I156" s="17" t="s">
        <v>172</v>
      </c>
      <c r="J156" s="17" t="s">
        <v>103</v>
      </c>
      <c r="K156" s="17" t="s">
        <v>137</v>
      </c>
      <c r="L156" s="17" t="s">
        <v>181</v>
      </c>
      <c r="M156" s="17" t="s">
        <v>1334</v>
      </c>
      <c r="N156" s="17" t="s">
        <v>1335</v>
      </c>
      <c r="O156" s="17" t="s">
        <v>1336</v>
      </c>
      <c r="P156" s="17" t="s">
        <v>14</v>
      </c>
    </row>
    <row r="157" customFormat="false" ht="15" hidden="false" customHeight="false" outlineLevel="0" collapsed="false">
      <c r="A157" s="18" t="s">
        <v>1319</v>
      </c>
      <c r="B157" s="18" t="n">
        <v>15</v>
      </c>
      <c r="C157" s="18" t="s">
        <v>1337</v>
      </c>
      <c r="D157" s="18" t="s">
        <v>1338</v>
      </c>
      <c r="E157" s="18" t="s">
        <v>1339</v>
      </c>
      <c r="F157" s="18" t="s">
        <v>1340</v>
      </c>
      <c r="G157" s="18" t="s">
        <v>1341</v>
      </c>
      <c r="H157" s="18" t="s">
        <v>1320</v>
      </c>
      <c r="I157" s="18" t="s">
        <v>274</v>
      </c>
      <c r="J157" s="18" t="s">
        <v>103</v>
      </c>
      <c r="K157" s="18" t="s">
        <v>137</v>
      </c>
      <c r="L157" s="18" t="s">
        <v>147</v>
      </c>
      <c r="M157" s="18" t="s">
        <v>1342</v>
      </c>
      <c r="N157" s="18" t="s">
        <v>1343</v>
      </c>
      <c r="O157" s="18" t="s">
        <v>1344</v>
      </c>
      <c r="P157" s="18" t="s">
        <v>18</v>
      </c>
    </row>
    <row r="158" customFormat="false" ht="23.85" hidden="false" customHeight="false" outlineLevel="0" collapsed="false">
      <c r="A158" s="17" t="s">
        <v>1319</v>
      </c>
      <c r="B158" s="17" t="n">
        <v>15</v>
      </c>
      <c r="C158" s="17" t="s">
        <v>1345</v>
      </c>
      <c r="D158" s="17" t="s">
        <v>1346</v>
      </c>
      <c r="E158" s="17" t="s">
        <v>1347</v>
      </c>
      <c r="F158" s="17" t="s">
        <v>1348</v>
      </c>
      <c r="G158" s="17" t="s">
        <v>1349</v>
      </c>
      <c r="H158" s="17" t="s">
        <v>261</v>
      </c>
      <c r="I158" s="17" t="s">
        <v>136</v>
      </c>
      <c r="J158" s="17" t="s">
        <v>103</v>
      </c>
      <c r="K158" s="17" t="s">
        <v>137</v>
      </c>
      <c r="L158" s="17" t="s">
        <v>147</v>
      </c>
      <c r="M158" s="17" t="s">
        <v>1350</v>
      </c>
      <c r="N158" s="17" t="s">
        <v>1351</v>
      </c>
      <c r="O158" s="17" t="s">
        <v>1352</v>
      </c>
      <c r="P158" s="17" t="s">
        <v>14</v>
      </c>
    </row>
    <row r="159" customFormat="false" ht="15" hidden="false" customHeight="false" outlineLevel="0" collapsed="false">
      <c r="A159" s="18" t="s">
        <v>1319</v>
      </c>
      <c r="B159" s="18" t="n">
        <v>15</v>
      </c>
      <c r="C159" s="18" t="s">
        <v>1353</v>
      </c>
      <c r="D159" s="18" t="s">
        <v>1354</v>
      </c>
      <c r="E159" s="18" t="s">
        <v>1355</v>
      </c>
      <c r="F159" s="18" t="s">
        <v>1356</v>
      </c>
      <c r="G159" s="18" t="s">
        <v>1357</v>
      </c>
      <c r="H159" s="18" t="s">
        <v>1358</v>
      </c>
      <c r="I159" s="18" t="s">
        <v>172</v>
      </c>
      <c r="J159" s="18" t="s">
        <v>103</v>
      </c>
      <c r="K159" s="18" t="s">
        <v>137</v>
      </c>
      <c r="L159" s="18" t="s">
        <v>181</v>
      </c>
      <c r="M159" s="18" t="s">
        <v>1359</v>
      </c>
      <c r="N159" s="18" t="s">
        <v>1360</v>
      </c>
      <c r="O159" s="18"/>
      <c r="P159" s="18" t="s">
        <v>16</v>
      </c>
    </row>
    <row r="160" customFormat="false" ht="23.85" hidden="false" customHeight="false" outlineLevel="0" collapsed="false">
      <c r="A160" s="17" t="s">
        <v>1319</v>
      </c>
      <c r="B160" s="17" t="n">
        <v>15</v>
      </c>
      <c r="C160" s="17" t="s">
        <v>1361</v>
      </c>
      <c r="D160" s="17" t="s">
        <v>1362</v>
      </c>
      <c r="E160" s="17" t="s">
        <v>1363</v>
      </c>
      <c r="F160" s="17" t="s">
        <v>1364</v>
      </c>
      <c r="G160" s="17" t="s">
        <v>1365</v>
      </c>
      <c r="H160" s="17" t="s">
        <v>1366</v>
      </c>
      <c r="I160" s="17" t="s">
        <v>172</v>
      </c>
      <c r="J160" s="17" t="s">
        <v>103</v>
      </c>
      <c r="K160" s="17" t="s">
        <v>137</v>
      </c>
      <c r="L160" s="17" t="s">
        <v>181</v>
      </c>
      <c r="M160" s="17" t="s">
        <v>1367</v>
      </c>
      <c r="N160" s="17" t="s">
        <v>1368</v>
      </c>
      <c r="O160" s="17" t="s">
        <v>891</v>
      </c>
      <c r="P160" s="17" t="s">
        <v>14</v>
      </c>
    </row>
    <row r="161" customFormat="false" ht="23.85" hidden="false" customHeight="false" outlineLevel="0" collapsed="false">
      <c r="A161" s="18" t="s">
        <v>1369</v>
      </c>
      <c r="B161" s="18" t="n">
        <v>16</v>
      </c>
      <c r="C161" s="18" t="s">
        <v>1366</v>
      </c>
      <c r="D161" s="18" t="s">
        <v>1370</v>
      </c>
      <c r="E161" s="18" t="s">
        <v>1371</v>
      </c>
      <c r="F161" s="18" t="s">
        <v>1372</v>
      </c>
      <c r="G161" s="18" t="s">
        <v>1373</v>
      </c>
      <c r="H161" s="18" t="s">
        <v>261</v>
      </c>
      <c r="I161" s="18" t="s">
        <v>136</v>
      </c>
      <c r="J161" s="18" t="s">
        <v>103</v>
      </c>
      <c r="K161" s="18" t="s">
        <v>137</v>
      </c>
      <c r="L161" s="18" t="s">
        <v>147</v>
      </c>
      <c r="M161" s="18" t="s">
        <v>1374</v>
      </c>
      <c r="N161" s="18" t="s">
        <v>1375</v>
      </c>
      <c r="O161" s="18" t="s">
        <v>1376</v>
      </c>
      <c r="P161" s="18" t="s">
        <v>14</v>
      </c>
    </row>
    <row r="162" customFormat="false" ht="23.85" hidden="false" customHeight="false" outlineLevel="0" collapsed="false">
      <c r="A162" s="17" t="s">
        <v>1369</v>
      </c>
      <c r="B162" s="17" t="n">
        <v>16</v>
      </c>
      <c r="C162" s="17" t="s">
        <v>1377</v>
      </c>
      <c r="D162" s="17" t="s">
        <v>1378</v>
      </c>
      <c r="E162" s="17" t="s">
        <v>1379</v>
      </c>
      <c r="F162" s="17" t="s">
        <v>1380</v>
      </c>
      <c r="G162" s="17" t="s">
        <v>1381</v>
      </c>
      <c r="H162" s="17" t="s">
        <v>1382</v>
      </c>
      <c r="I162" s="17" t="s">
        <v>136</v>
      </c>
      <c r="J162" s="17" t="s">
        <v>103</v>
      </c>
      <c r="K162" s="17" t="s">
        <v>137</v>
      </c>
      <c r="L162" s="17" t="s">
        <v>181</v>
      </c>
      <c r="M162" s="17" t="s">
        <v>1383</v>
      </c>
      <c r="N162" s="17" t="s">
        <v>1384</v>
      </c>
      <c r="O162" s="17" t="s">
        <v>891</v>
      </c>
      <c r="P162" s="17" t="s">
        <v>14</v>
      </c>
    </row>
    <row r="163" customFormat="false" ht="23.85" hidden="false" customHeight="false" outlineLevel="0" collapsed="false">
      <c r="A163" s="18" t="s">
        <v>1369</v>
      </c>
      <c r="B163" s="18" t="n">
        <v>16</v>
      </c>
      <c r="C163" s="18" t="s">
        <v>1385</v>
      </c>
      <c r="D163" s="18" t="s">
        <v>1386</v>
      </c>
      <c r="E163" s="18" t="s">
        <v>1387</v>
      </c>
      <c r="F163" s="18" t="s">
        <v>1388</v>
      </c>
      <c r="G163" s="18" t="s">
        <v>1389</v>
      </c>
      <c r="H163" s="18" t="s">
        <v>1377</v>
      </c>
      <c r="I163" s="18" t="s">
        <v>136</v>
      </c>
      <c r="J163" s="18" t="s">
        <v>103</v>
      </c>
      <c r="K163" s="18" t="s">
        <v>137</v>
      </c>
      <c r="L163" s="18" t="s">
        <v>147</v>
      </c>
      <c r="M163" s="18" t="s">
        <v>1390</v>
      </c>
      <c r="N163" s="18" t="s">
        <v>1391</v>
      </c>
      <c r="O163" s="18" t="s">
        <v>1392</v>
      </c>
      <c r="P163" s="18" t="s">
        <v>14</v>
      </c>
    </row>
    <row r="164" customFormat="false" ht="23.85" hidden="false" customHeight="false" outlineLevel="0" collapsed="false">
      <c r="A164" s="17" t="s">
        <v>1369</v>
      </c>
      <c r="B164" s="17" t="n">
        <v>16</v>
      </c>
      <c r="C164" s="17" t="s">
        <v>1393</v>
      </c>
      <c r="D164" s="17" t="s">
        <v>1394</v>
      </c>
      <c r="E164" s="17" t="s">
        <v>1395</v>
      </c>
      <c r="F164" s="17" t="s">
        <v>1396</v>
      </c>
      <c r="G164" s="17" t="s">
        <v>1397</v>
      </c>
      <c r="H164" s="17" t="s">
        <v>1366</v>
      </c>
      <c r="I164" s="17" t="s">
        <v>136</v>
      </c>
      <c r="J164" s="17" t="s">
        <v>103</v>
      </c>
      <c r="K164" s="17" t="s">
        <v>137</v>
      </c>
      <c r="L164" s="17" t="s">
        <v>181</v>
      </c>
      <c r="M164" s="17" t="s">
        <v>1398</v>
      </c>
      <c r="N164" s="17" t="s">
        <v>1399</v>
      </c>
      <c r="O164" s="17" t="s">
        <v>1400</v>
      </c>
      <c r="P164" s="17" t="s">
        <v>14</v>
      </c>
    </row>
    <row r="165" customFormat="false" ht="23.85" hidden="false" customHeight="false" outlineLevel="0" collapsed="false">
      <c r="A165" s="18" t="s">
        <v>1369</v>
      </c>
      <c r="B165" s="18" t="n">
        <v>16</v>
      </c>
      <c r="C165" s="18" t="s">
        <v>1401</v>
      </c>
      <c r="D165" s="18" t="s">
        <v>1402</v>
      </c>
      <c r="E165" s="18" t="s">
        <v>1403</v>
      </c>
      <c r="F165" s="18" t="s">
        <v>1404</v>
      </c>
      <c r="G165" s="18" t="s">
        <v>1405</v>
      </c>
      <c r="H165" s="18" t="s">
        <v>884</v>
      </c>
      <c r="I165" s="18" t="s">
        <v>172</v>
      </c>
      <c r="J165" s="18" t="s">
        <v>103</v>
      </c>
      <c r="K165" s="18" t="s">
        <v>137</v>
      </c>
      <c r="L165" s="18" t="s">
        <v>181</v>
      </c>
      <c r="M165" s="18" t="s">
        <v>1406</v>
      </c>
      <c r="N165" s="18" t="s">
        <v>1407</v>
      </c>
      <c r="O165" s="18" t="s">
        <v>891</v>
      </c>
      <c r="P165" s="18" t="s">
        <v>14</v>
      </c>
    </row>
    <row r="166" customFormat="false" ht="23.85" hidden="false" customHeight="false" outlineLevel="0" collapsed="false">
      <c r="A166" s="17" t="s">
        <v>1369</v>
      </c>
      <c r="B166" s="17" t="n">
        <v>16</v>
      </c>
      <c r="C166" s="17" t="s">
        <v>1408</v>
      </c>
      <c r="D166" s="17" t="s">
        <v>1409</v>
      </c>
      <c r="E166" s="17" t="s">
        <v>1410</v>
      </c>
      <c r="F166" s="17" t="s">
        <v>1411</v>
      </c>
      <c r="G166" s="17" t="s">
        <v>1412</v>
      </c>
      <c r="H166" s="17" t="s">
        <v>1413</v>
      </c>
      <c r="I166" s="17" t="s">
        <v>172</v>
      </c>
      <c r="J166" s="17" t="s">
        <v>103</v>
      </c>
      <c r="K166" s="17" t="s">
        <v>137</v>
      </c>
      <c r="L166" s="17" t="s">
        <v>181</v>
      </c>
      <c r="M166" s="17" t="s">
        <v>1414</v>
      </c>
      <c r="N166" s="17" t="s">
        <v>1415</v>
      </c>
      <c r="O166" s="17" t="s">
        <v>1392</v>
      </c>
      <c r="P166" s="17" t="s">
        <v>14</v>
      </c>
    </row>
    <row r="167" customFormat="false" ht="23.85" hidden="false" customHeight="false" outlineLevel="0" collapsed="false">
      <c r="A167" s="18" t="s">
        <v>1369</v>
      </c>
      <c r="B167" s="18" t="n">
        <v>16</v>
      </c>
      <c r="C167" s="18" t="s">
        <v>1416</v>
      </c>
      <c r="D167" s="18" t="s">
        <v>1417</v>
      </c>
      <c r="E167" s="18" t="s">
        <v>1418</v>
      </c>
      <c r="F167" s="18" t="s">
        <v>1419</v>
      </c>
      <c r="G167" s="18" t="s">
        <v>1420</v>
      </c>
      <c r="H167" s="18" t="s">
        <v>1366</v>
      </c>
      <c r="I167" s="18" t="s">
        <v>172</v>
      </c>
      <c r="J167" s="18" t="s">
        <v>103</v>
      </c>
      <c r="K167" s="18" t="s">
        <v>137</v>
      </c>
      <c r="L167" s="18" t="s">
        <v>181</v>
      </c>
      <c r="M167" s="18" t="s">
        <v>1421</v>
      </c>
      <c r="N167" s="18" t="s">
        <v>1422</v>
      </c>
      <c r="O167" s="18" t="s">
        <v>891</v>
      </c>
      <c r="P167" s="18" t="s">
        <v>14</v>
      </c>
    </row>
    <row r="168" customFormat="false" ht="23.85" hidden="false" customHeight="false" outlineLevel="0" collapsed="false">
      <c r="A168" s="17" t="s">
        <v>1423</v>
      </c>
      <c r="B168" s="17" t="n">
        <v>17</v>
      </c>
      <c r="C168" s="17" t="s">
        <v>1424</v>
      </c>
      <c r="D168" s="17" t="s">
        <v>1425</v>
      </c>
      <c r="E168" s="17" t="s">
        <v>1426</v>
      </c>
      <c r="F168" s="17" t="s">
        <v>1427</v>
      </c>
      <c r="G168" s="17" t="s">
        <v>1428</v>
      </c>
      <c r="H168" s="17" t="s">
        <v>502</v>
      </c>
      <c r="I168" s="17" t="s">
        <v>136</v>
      </c>
      <c r="J168" s="17" t="s">
        <v>103</v>
      </c>
      <c r="K168" s="17" t="s">
        <v>137</v>
      </c>
      <c r="L168" s="17" t="s">
        <v>181</v>
      </c>
      <c r="M168" s="17" t="s">
        <v>1429</v>
      </c>
      <c r="N168" s="17" t="s">
        <v>1430</v>
      </c>
      <c r="O168" s="17" t="s">
        <v>1431</v>
      </c>
      <c r="P168" s="17" t="s">
        <v>14</v>
      </c>
    </row>
    <row r="169" customFormat="false" ht="23.85" hidden="false" customHeight="false" outlineLevel="0" collapsed="false">
      <c r="A169" s="18" t="s">
        <v>1423</v>
      </c>
      <c r="B169" s="18" t="n">
        <v>17</v>
      </c>
      <c r="C169" s="18" t="s">
        <v>1432</v>
      </c>
      <c r="D169" s="18" t="s">
        <v>1433</v>
      </c>
      <c r="E169" s="18" t="s">
        <v>1434</v>
      </c>
      <c r="F169" s="18" t="s">
        <v>1435</v>
      </c>
      <c r="G169" s="18" t="s">
        <v>1436</v>
      </c>
      <c r="H169" s="18" t="s">
        <v>574</v>
      </c>
      <c r="I169" s="18" t="s">
        <v>136</v>
      </c>
      <c r="J169" s="18" t="s">
        <v>103</v>
      </c>
      <c r="K169" s="18" t="s">
        <v>137</v>
      </c>
      <c r="L169" s="18" t="s">
        <v>181</v>
      </c>
      <c r="M169" s="18" t="s">
        <v>1437</v>
      </c>
      <c r="N169" s="18" t="s">
        <v>1438</v>
      </c>
      <c r="O169" s="18"/>
      <c r="P169" s="18" t="s">
        <v>14</v>
      </c>
    </row>
    <row r="170" customFormat="false" ht="23.85" hidden="false" customHeight="false" outlineLevel="0" collapsed="false">
      <c r="A170" s="17" t="s">
        <v>1423</v>
      </c>
      <c r="B170" s="17" t="n">
        <v>17</v>
      </c>
      <c r="C170" s="17" t="s">
        <v>1439</v>
      </c>
      <c r="D170" s="17" t="s">
        <v>1440</v>
      </c>
      <c r="E170" s="17" t="s">
        <v>1441</v>
      </c>
      <c r="F170" s="17" t="s">
        <v>1442</v>
      </c>
      <c r="G170" s="17" t="s">
        <v>1443</v>
      </c>
      <c r="H170" s="17" t="s">
        <v>1444</v>
      </c>
      <c r="I170" s="17" t="s">
        <v>136</v>
      </c>
      <c r="J170" s="17" t="s">
        <v>103</v>
      </c>
      <c r="K170" s="17" t="s">
        <v>137</v>
      </c>
      <c r="L170" s="17" t="s">
        <v>181</v>
      </c>
      <c r="M170" s="17" t="s">
        <v>1445</v>
      </c>
      <c r="N170" s="17" t="s">
        <v>1446</v>
      </c>
      <c r="O170" s="17" t="s">
        <v>588</v>
      </c>
      <c r="P170" s="17" t="s">
        <v>14</v>
      </c>
    </row>
    <row r="171" customFormat="false" ht="23.85" hidden="false" customHeight="false" outlineLevel="0" collapsed="false">
      <c r="A171" s="18" t="s">
        <v>1423</v>
      </c>
      <c r="B171" s="18" t="n">
        <v>17</v>
      </c>
      <c r="C171" s="18" t="s">
        <v>1447</v>
      </c>
      <c r="D171" s="18" t="s">
        <v>1448</v>
      </c>
      <c r="E171" s="18" t="s">
        <v>1449</v>
      </c>
      <c r="F171" s="18" t="s">
        <v>1450</v>
      </c>
      <c r="G171" s="18" t="s">
        <v>1451</v>
      </c>
      <c r="H171" s="18" t="s">
        <v>1452</v>
      </c>
      <c r="I171" s="18" t="s">
        <v>136</v>
      </c>
      <c r="J171" s="18" t="s">
        <v>103</v>
      </c>
      <c r="K171" s="18" t="s">
        <v>137</v>
      </c>
      <c r="L171" s="18" t="s">
        <v>181</v>
      </c>
      <c r="M171" s="18" t="s">
        <v>1453</v>
      </c>
      <c r="N171" s="18" t="s">
        <v>1454</v>
      </c>
      <c r="O171" s="18" t="s">
        <v>588</v>
      </c>
      <c r="P171" s="18" t="s">
        <v>14</v>
      </c>
    </row>
    <row r="172" customFormat="false" ht="23.85" hidden="false" customHeight="false" outlineLevel="0" collapsed="false">
      <c r="A172" s="17" t="s">
        <v>1423</v>
      </c>
      <c r="B172" s="17" t="n">
        <v>17</v>
      </c>
      <c r="C172" s="17" t="s">
        <v>1455</v>
      </c>
      <c r="D172" s="17" t="s">
        <v>1456</v>
      </c>
      <c r="E172" s="17" t="s">
        <v>1457</v>
      </c>
      <c r="F172" s="17" t="s">
        <v>1458</v>
      </c>
      <c r="G172" s="17" t="s">
        <v>1459</v>
      </c>
      <c r="H172" s="17" t="s">
        <v>751</v>
      </c>
      <c r="I172" s="17" t="s">
        <v>136</v>
      </c>
      <c r="J172" s="17" t="s">
        <v>103</v>
      </c>
      <c r="K172" s="17" t="s">
        <v>137</v>
      </c>
      <c r="L172" s="17" t="s">
        <v>181</v>
      </c>
      <c r="M172" s="17" t="s">
        <v>1460</v>
      </c>
      <c r="N172" s="17" t="s">
        <v>1461</v>
      </c>
      <c r="O172" s="17"/>
      <c r="P172" s="17" t="s">
        <v>14</v>
      </c>
    </row>
    <row r="173" customFormat="false" ht="23.85" hidden="false" customHeight="false" outlineLevel="0" collapsed="false">
      <c r="A173" s="18" t="s">
        <v>1423</v>
      </c>
      <c r="B173" s="18" t="n">
        <v>17</v>
      </c>
      <c r="C173" s="18" t="s">
        <v>1462</v>
      </c>
      <c r="D173" s="18" t="s">
        <v>1463</v>
      </c>
      <c r="E173" s="18" t="s">
        <v>1464</v>
      </c>
      <c r="F173" s="18" t="s">
        <v>1465</v>
      </c>
      <c r="G173" s="18" t="s">
        <v>1466</v>
      </c>
      <c r="H173" s="18" t="s">
        <v>449</v>
      </c>
      <c r="I173" s="18" t="s">
        <v>136</v>
      </c>
      <c r="J173" s="18" t="s">
        <v>103</v>
      </c>
      <c r="K173" s="18" t="s">
        <v>137</v>
      </c>
      <c r="L173" s="18" t="s">
        <v>147</v>
      </c>
      <c r="M173" s="18" t="s">
        <v>1467</v>
      </c>
      <c r="N173" s="18" t="s">
        <v>1468</v>
      </c>
      <c r="O173" s="18"/>
      <c r="P173" s="18" t="s">
        <v>14</v>
      </c>
    </row>
    <row r="174" customFormat="false" ht="23.85" hidden="false" customHeight="false" outlineLevel="0" collapsed="false">
      <c r="A174" s="17" t="s">
        <v>1423</v>
      </c>
      <c r="B174" s="17" t="n">
        <v>17</v>
      </c>
      <c r="C174" s="17" t="s">
        <v>1469</v>
      </c>
      <c r="D174" s="17" t="s">
        <v>1470</v>
      </c>
      <c r="E174" s="17" t="s">
        <v>1471</v>
      </c>
      <c r="F174" s="17" t="s">
        <v>1472</v>
      </c>
      <c r="G174" s="17" t="s">
        <v>1473</v>
      </c>
      <c r="H174" s="17" t="s">
        <v>1474</v>
      </c>
      <c r="I174" s="17" t="s">
        <v>172</v>
      </c>
      <c r="J174" s="17" t="s">
        <v>103</v>
      </c>
      <c r="K174" s="17" t="s">
        <v>137</v>
      </c>
      <c r="L174" s="17" t="s">
        <v>147</v>
      </c>
      <c r="M174" s="17" t="s">
        <v>1475</v>
      </c>
      <c r="N174" s="17" t="s">
        <v>1476</v>
      </c>
      <c r="O174" s="17" t="s">
        <v>588</v>
      </c>
      <c r="P174" s="17" t="s">
        <v>14</v>
      </c>
    </row>
    <row r="175" customFormat="false" ht="23.85" hidden="false" customHeight="false" outlineLevel="0" collapsed="false">
      <c r="A175" s="18" t="s">
        <v>1423</v>
      </c>
      <c r="B175" s="18" t="n">
        <v>17</v>
      </c>
      <c r="C175" s="18" t="s">
        <v>1477</v>
      </c>
      <c r="D175" s="18" t="s">
        <v>1478</v>
      </c>
      <c r="E175" s="18" t="s">
        <v>1479</v>
      </c>
      <c r="F175" s="18" t="s">
        <v>1480</v>
      </c>
      <c r="G175" s="18" t="s">
        <v>1481</v>
      </c>
      <c r="H175" s="18" t="s">
        <v>246</v>
      </c>
      <c r="I175" s="18" t="s">
        <v>136</v>
      </c>
      <c r="J175" s="18" t="s">
        <v>103</v>
      </c>
      <c r="K175" s="18" t="s">
        <v>137</v>
      </c>
      <c r="L175" s="18" t="s">
        <v>147</v>
      </c>
      <c r="M175" s="18" t="s">
        <v>1482</v>
      </c>
      <c r="N175" s="18" t="s">
        <v>1483</v>
      </c>
      <c r="O175" s="18"/>
      <c r="P175" s="18" t="s">
        <v>14</v>
      </c>
    </row>
    <row r="176" customFormat="false" ht="23.85" hidden="false" customHeight="false" outlineLevel="0" collapsed="false">
      <c r="A176" s="17" t="s">
        <v>1423</v>
      </c>
      <c r="B176" s="17" t="n">
        <v>17</v>
      </c>
      <c r="C176" s="17" t="s">
        <v>1484</v>
      </c>
      <c r="D176" s="17" t="s">
        <v>1485</v>
      </c>
      <c r="E176" s="17" t="s">
        <v>1486</v>
      </c>
      <c r="F176" s="17" t="s">
        <v>1487</v>
      </c>
      <c r="G176" s="17" t="s">
        <v>1488</v>
      </c>
      <c r="H176" s="17" t="s">
        <v>1489</v>
      </c>
      <c r="I176" s="17" t="s">
        <v>136</v>
      </c>
      <c r="J176" s="17" t="s">
        <v>103</v>
      </c>
      <c r="K176" s="17" t="s">
        <v>137</v>
      </c>
      <c r="L176" s="17" t="s">
        <v>181</v>
      </c>
      <c r="M176" s="17" t="s">
        <v>1490</v>
      </c>
      <c r="N176" s="17" t="s">
        <v>1491</v>
      </c>
      <c r="O176" s="17" t="s">
        <v>588</v>
      </c>
      <c r="P176" s="17" t="s">
        <v>14</v>
      </c>
    </row>
    <row r="177" customFormat="false" ht="15" hidden="false" customHeight="false" outlineLevel="0" collapsed="false">
      <c r="A177" s="18" t="s">
        <v>1423</v>
      </c>
      <c r="B177" s="18" t="n">
        <v>17</v>
      </c>
      <c r="C177" s="18" t="s">
        <v>1492</v>
      </c>
      <c r="D177" s="18" t="s">
        <v>1493</v>
      </c>
      <c r="E177" s="18" t="s">
        <v>1494</v>
      </c>
      <c r="F177" s="18" t="s">
        <v>1495</v>
      </c>
      <c r="G177" s="18" t="s">
        <v>1496</v>
      </c>
      <c r="H177" s="18" t="s">
        <v>1497</v>
      </c>
      <c r="I177" s="18" t="s">
        <v>136</v>
      </c>
      <c r="J177" s="18" t="s">
        <v>103</v>
      </c>
      <c r="K177" s="18" t="s">
        <v>137</v>
      </c>
      <c r="L177" s="18" t="s">
        <v>181</v>
      </c>
      <c r="M177" s="18" t="s">
        <v>1498</v>
      </c>
      <c r="N177" s="18" t="s">
        <v>1499</v>
      </c>
      <c r="O177" s="18"/>
      <c r="P177" s="18" t="s">
        <v>16</v>
      </c>
    </row>
    <row r="178" customFormat="false" ht="15" hidden="false" customHeight="false" outlineLevel="0" collapsed="false">
      <c r="A178" s="17" t="s">
        <v>1500</v>
      </c>
      <c r="B178" s="17" t="n">
        <v>18</v>
      </c>
      <c r="C178" s="17" t="s">
        <v>1501</v>
      </c>
      <c r="D178" s="17" t="s">
        <v>1502</v>
      </c>
      <c r="E178" s="17" t="s">
        <v>1503</v>
      </c>
      <c r="F178" s="17" t="s">
        <v>1504</v>
      </c>
      <c r="G178" s="17" t="s">
        <v>1505</v>
      </c>
      <c r="H178" s="17" t="s">
        <v>261</v>
      </c>
      <c r="I178" s="17" t="s">
        <v>136</v>
      </c>
      <c r="J178" s="17" t="s">
        <v>103</v>
      </c>
      <c r="K178" s="17" t="s">
        <v>137</v>
      </c>
      <c r="L178" s="17" t="s">
        <v>147</v>
      </c>
      <c r="M178" s="17" t="s">
        <v>1506</v>
      </c>
      <c r="N178" s="17" t="s">
        <v>1507</v>
      </c>
      <c r="O178" s="17" t="s">
        <v>1508</v>
      </c>
      <c r="P178" s="17" t="s">
        <v>16</v>
      </c>
    </row>
    <row r="179" customFormat="false" ht="15" hidden="false" customHeight="false" outlineLevel="0" collapsed="false">
      <c r="A179" s="18" t="s">
        <v>1500</v>
      </c>
      <c r="B179" s="18" t="n">
        <v>18</v>
      </c>
      <c r="C179" s="18" t="s">
        <v>1509</v>
      </c>
      <c r="D179" s="18" t="s">
        <v>1510</v>
      </c>
      <c r="E179" s="18" t="s">
        <v>1511</v>
      </c>
      <c r="F179" s="18" t="s">
        <v>1512</v>
      </c>
      <c r="G179" s="18" t="s">
        <v>1513</v>
      </c>
      <c r="H179" s="18" t="s">
        <v>1501</v>
      </c>
      <c r="I179" s="18" t="s">
        <v>172</v>
      </c>
      <c r="J179" s="18" t="s">
        <v>103</v>
      </c>
      <c r="K179" s="18" t="s">
        <v>137</v>
      </c>
      <c r="L179" s="18" t="s">
        <v>379</v>
      </c>
      <c r="M179" s="18" t="s">
        <v>1514</v>
      </c>
      <c r="N179" s="18" t="s">
        <v>1515</v>
      </c>
      <c r="O179" s="18"/>
      <c r="P179" s="18" t="s">
        <v>16</v>
      </c>
    </row>
    <row r="180" customFormat="false" ht="15" hidden="false" customHeight="false" outlineLevel="0" collapsed="false">
      <c r="A180" s="17" t="s">
        <v>1500</v>
      </c>
      <c r="B180" s="17" t="n">
        <v>18</v>
      </c>
      <c r="C180" s="17" t="s">
        <v>1516</v>
      </c>
      <c r="D180" s="17" t="s">
        <v>1517</v>
      </c>
      <c r="E180" s="17" t="s">
        <v>1518</v>
      </c>
      <c r="F180" s="17" t="s">
        <v>1519</v>
      </c>
      <c r="G180" s="17" t="s">
        <v>1520</v>
      </c>
      <c r="H180" s="17" t="s">
        <v>1521</v>
      </c>
      <c r="I180" s="17" t="s">
        <v>172</v>
      </c>
      <c r="J180" s="17" t="s">
        <v>103</v>
      </c>
      <c r="K180" s="17" t="s">
        <v>137</v>
      </c>
      <c r="L180" s="17" t="s">
        <v>379</v>
      </c>
      <c r="M180" s="17" t="s">
        <v>1522</v>
      </c>
      <c r="N180" s="17" t="s">
        <v>1523</v>
      </c>
      <c r="O180" s="17"/>
      <c r="P180" s="17" t="s">
        <v>16</v>
      </c>
    </row>
    <row r="181" customFormat="false" ht="15" hidden="false" customHeight="false" outlineLevel="0" collapsed="false">
      <c r="A181" s="18" t="s">
        <v>1500</v>
      </c>
      <c r="B181" s="18" t="n">
        <v>18</v>
      </c>
      <c r="C181" s="18" t="s">
        <v>1524</v>
      </c>
      <c r="D181" s="18" t="s">
        <v>1525</v>
      </c>
      <c r="E181" s="18" t="s">
        <v>1526</v>
      </c>
      <c r="F181" s="18" t="s">
        <v>1527</v>
      </c>
      <c r="G181" s="18" t="s">
        <v>1528</v>
      </c>
      <c r="H181" s="18" t="s">
        <v>1529</v>
      </c>
      <c r="I181" s="18" t="s">
        <v>136</v>
      </c>
      <c r="J181" s="18" t="s">
        <v>103</v>
      </c>
      <c r="K181" s="18" t="s">
        <v>137</v>
      </c>
      <c r="L181" s="18" t="s">
        <v>379</v>
      </c>
      <c r="M181" s="18" t="s">
        <v>1530</v>
      </c>
      <c r="N181" s="18" t="s">
        <v>1531</v>
      </c>
      <c r="O181" s="18"/>
      <c r="P181" s="18" t="s">
        <v>16</v>
      </c>
    </row>
    <row r="182" customFormat="false" ht="23.85" hidden="false" customHeight="false" outlineLevel="0" collapsed="false">
      <c r="A182" s="17" t="s">
        <v>1500</v>
      </c>
      <c r="B182" s="17" t="n">
        <v>18</v>
      </c>
      <c r="C182" s="17" t="s">
        <v>1532</v>
      </c>
      <c r="D182" s="17" t="s">
        <v>1533</v>
      </c>
      <c r="E182" s="17" t="s">
        <v>1534</v>
      </c>
      <c r="F182" s="17" t="s">
        <v>1535</v>
      </c>
      <c r="G182" s="17" t="s">
        <v>1536</v>
      </c>
      <c r="H182" s="17" t="s">
        <v>1537</v>
      </c>
      <c r="I182" s="17" t="s">
        <v>136</v>
      </c>
      <c r="J182" s="17" t="s">
        <v>103</v>
      </c>
      <c r="K182" s="17" t="s">
        <v>137</v>
      </c>
      <c r="L182" s="17" t="s">
        <v>379</v>
      </c>
      <c r="M182" s="17" t="s">
        <v>1538</v>
      </c>
      <c r="N182" s="17" t="s">
        <v>1539</v>
      </c>
      <c r="O182" s="17" t="s">
        <v>1540</v>
      </c>
      <c r="P182" s="17" t="s">
        <v>14</v>
      </c>
    </row>
    <row r="183" customFormat="false" ht="23.85" hidden="false" customHeight="false" outlineLevel="0" collapsed="false">
      <c r="A183" s="18" t="s">
        <v>1500</v>
      </c>
      <c r="B183" s="18" t="n">
        <v>18</v>
      </c>
      <c r="C183" s="18" t="s">
        <v>1541</v>
      </c>
      <c r="D183" s="18" t="s">
        <v>1542</v>
      </c>
      <c r="E183" s="18" t="s">
        <v>1543</v>
      </c>
      <c r="F183" s="18" t="s">
        <v>1544</v>
      </c>
      <c r="G183" s="18" t="s">
        <v>1545</v>
      </c>
      <c r="H183" s="18" t="s">
        <v>423</v>
      </c>
      <c r="I183" s="18" t="s">
        <v>136</v>
      </c>
      <c r="J183" s="18" t="s">
        <v>103</v>
      </c>
      <c r="K183" s="18" t="s">
        <v>137</v>
      </c>
      <c r="L183" s="18" t="s">
        <v>181</v>
      </c>
      <c r="M183" s="18" t="s">
        <v>1546</v>
      </c>
      <c r="N183" s="18" t="s">
        <v>1547</v>
      </c>
      <c r="O183" s="18" t="s">
        <v>1392</v>
      </c>
      <c r="P183" s="18" t="s">
        <v>14</v>
      </c>
    </row>
    <row r="184" customFormat="false" ht="23.85" hidden="false" customHeight="false" outlineLevel="0" collapsed="false">
      <c r="A184" s="17" t="s">
        <v>1500</v>
      </c>
      <c r="B184" s="17" t="n">
        <v>18</v>
      </c>
      <c r="C184" s="17" t="s">
        <v>1548</v>
      </c>
      <c r="D184" s="17" t="s">
        <v>1549</v>
      </c>
      <c r="E184" s="17" t="s">
        <v>1550</v>
      </c>
      <c r="F184" s="17" t="s">
        <v>1551</v>
      </c>
      <c r="G184" s="17" t="s">
        <v>1552</v>
      </c>
      <c r="H184" s="17" t="s">
        <v>415</v>
      </c>
      <c r="I184" s="17" t="s">
        <v>172</v>
      </c>
      <c r="J184" s="17" t="s">
        <v>103</v>
      </c>
      <c r="K184" s="17" t="s">
        <v>137</v>
      </c>
      <c r="L184" s="17" t="s">
        <v>181</v>
      </c>
      <c r="M184" s="17" t="s">
        <v>1553</v>
      </c>
      <c r="N184" s="17" t="s">
        <v>1554</v>
      </c>
      <c r="O184" s="17" t="s">
        <v>1301</v>
      </c>
      <c r="P184" s="17" t="s">
        <v>14</v>
      </c>
    </row>
    <row r="185" customFormat="false" ht="15" hidden="false" customHeight="false" outlineLevel="0" collapsed="false">
      <c r="A185" s="18" t="s">
        <v>1500</v>
      </c>
      <c r="B185" s="18" t="n">
        <v>18</v>
      </c>
      <c r="C185" s="18" t="s">
        <v>1555</v>
      </c>
      <c r="D185" s="18" t="s">
        <v>1556</v>
      </c>
      <c r="E185" s="18" t="s">
        <v>1557</v>
      </c>
      <c r="F185" s="18" t="s">
        <v>1558</v>
      </c>
      <c r="G185" s="18" t="s">
        <v>1559</v>
      </c>
      <c r="H185" s="18" t="s">
        <v>1524</v>
      </c>
      <c r="I185" s="18" t="s">
        <v>172</v>
      </c>
      <c r="J185" s="18" t="s">
        <v>103</v>
      </c>
      <c r="K185" s="18" t="s">
        <v>137</v>
      </c>
      <c r="L185" s="18" t="s">
        <v>147</v>
      </c>
      <c r="M185" s="18" t="s">
        <v>1560</v>
      </c>
      <c r="N185" s="18" t="s">
        <v>1561</v>
      </c>
      <c r="O185" s="18"/>
      <c r="P185" s="18" t="s">
        <v>16</v>
      </c>
    </row>
    <row r="186" customFormat="false" ht="15" hidden="false" customHeight="false" outlineLevel="0" collapsed="false">
      <c r="A186" s="17" t="s">
        <v>1500</v>
      </c>
      <c r="B186" s="17" t="n">
        <v>18</v>
      </c>
      <c r="C186" s="17" t="s">
        <v>1562</v>
      </c>
      <c r="D186" s="17" t="s">
        <v>1563</v>
      </c>
      <c r="E186" s="17" t="s">
        <v>1564</v>
      </c>
      <c r="F186" s="17" t="s">
        <v>1565</v>
      </c>
      <c r="G186" s="17" t="s">
        <v>1566</v>
      </c>
      <c r="H186" s="17" t="s">
        <v>1408</v>
      </c>
      <c r="I186" s="17" t="s">
        <v>172</v>
      </c>
      <c r="J186" s="17" t="s">
        <v>103</v>
      </c>
      <c r="K186" s="17" t="s">
        <v>137</v>
      </c>
      <c r="L186" s="17" t="s">
        <v>181</v>
      </c>
      <c r="M186" s="17" t="s">
        <v>1567</v>
      </c>
      <c r="N186" s="17" t="s">
        <v>1568</v>
      </c>
      <c r="O186" s="17"/>
      <c r="P186" s="17" t="s">
        <v>16</v>
      </c>
    </row>
    <row r="187" customFormat="false" ht="23.85" hidden="false" customHeight="false" outlineLevel="0" collapsed="false">
      <c r="A187" s="18" t="s">
        <v>1500</v>
      </c>
      <c r="B187" s="18" t="n">
        <v>18</v>
      </c>
      <c r="C187" s="18" t="s">
        <v>1569</v>
      </c>
      <c r="D187" s="18" t="s">
        <v>1570</v>
      </c>
      <c r="E187" s="18" t="s">
        <v>1571</v>
      </c>
      <c r="F187" s="18" t="s">
        <v>1572</v>
      </c>
      <c r="G187" s="18" t="s">
        <v>1573</v>
      </c>
      <c r="H187" s="18" t="s">
        <v>1524</v>
      </c>
      <c r="I187" s="18" t="s">
        <v>136</v>
      </c>
      <c r="J187" s="18" t="s">
        <v>103</v>
      </c>
      <c r="K187" s="18" t="s">
        <v>137</v>
      </c>
      <c r="L187" s="18" t="s">
        <v>181</v>
      </c>
      <c r="M187" s="18" t="s">
        <v>1574</v>
      </c>
      <c r="N187" s="18" t="s">
        <v>1575</v>
      </c>
      <c r="O187" s="18" t="s">
        <v>1576</v>
      </c>
      <c r="P187" s="18" t="s">
        <v>14</v>
      </c>
    </row>
    <row r="188" customFormat="false" ht="15" hidden="false" customHeight="false" outlineLevel="0" collapsed="false">
      <c r="A188" s="17" t="s">
        <v>1577</v>
      </c>
      <c r="B188" s="17" t="n">
        <v>19</v>
      </c>
      <c r="C188" s="17" t="s">
        <v>1578</v>
      </c>
      <c r="D188" s="17" t="s">
        <v>1579</v>
      </c>
      <c r="E188" s="17" t="s">
        <v>1580</v>
      </c>
      <c r="F188" s="17" t="s">
        <v>1581</v>
      </c>
      <c r="G188" s="17" t="s">
        <v>1582</v>
      </c>
      <c r="H188" s="17" t="s">
        <v>341</v>
      </c>
      <c r="I188" s="17" t="s">
        <v>136</v>
      </c>
      <c r="J188" s="17" t="s">
        <v>103</v>
      </c>
      <c r="K188" s="17" t="s">
        <v>137</v>
      </c>
      <c r="L188" s="17" t="s">
        <v>181</v>
      </c>
      <c r="M188" s="17" t="s">
        <v>1583</v>
      </c>
      <c r="N188" s="17" t="s">
        <v>1584</v>
      </c>
      <c r="O188" s="17"/>
      <c r="P188" s="17" t="s">
        <v>16</v>
      </c>
    </row>
    <row r="189" customFormat="false" ht="23.85" hidden="false" customHeight="false" outlineLevel="0" collapsed="false">
      <c r="A189" s="18" t="s">
        <v>1577</v>
      </c>
      <c r="B189" s="18" t="n">
        <v>19</v>
      </c>
      <c r="C189" s="18" t="s">
        <v>1585</v>
      </c>
      <c r="D189" s="18" t="s">
        <v>1586</v>
      </c>
      <c r="E189" s="18" t="s">
        <v>1587</v>
      </c>
      <c r="F189" s="18" t="s">
        <v>1588</v>
      </c>
      <c r="G189" s="18" t="s">
        <v>1589</v>
      </c>
      <c r="H189" s="18" t="s">
        <v>1578</v>
      </c>
      <c r="I189" s="18" t="s">
        <v>172</v>
      </c>
      <c r="J189" s="18" t="s">
        <v>103</v>
      </c>
      <c r="K189" s="18" t="s">
        <v>137</v>
      </c>
      <c r="L189" s="18" t="s">
        <v>379</v>
      </c>
      <c r="M189" s="18" t="s">
        <v>1590</v>
      </c>
      <c r="N189" s="18" t="s">
        <v>1591</v>
      </c>
      <c r="O189" s="18" t="s">
        <v>1592</v>
      </c>
      <c r="P189" s="18" t="s">
        <v>16</v>
      </c>
    </row>
    <row r="190" customFormat="false" ht="15" hidden="false" customHeight="false" outlineLevel="0" collapsed="false">
      <c r="A190" s="17" t="s">
        <v>1577</v>
      </c>
      <c r="B190" s="17" t="n">
        <v>19</v>
      </c>
      <c r="C190" s="17" t="s">
        <v>1474</v>
      </c>
      <c r="D190" s="17" t="s">
        <v>1593</v>
      </c>
      <c r="E190" s="17" t="s">
        <v>1594</v>
      </c>
      <c r="F190" s="17" t="s">
        <v>1595</v>
      </c>
      <c r="G190" s="17" t="s">
        <v>1596</v>
      </c>
      <c r="H190" s="17" t="s">
        <v>1597</v>
      </c>
      <c r="I190" s="17" t="s">
        <v>136</v>
      </c>
      <c r="J190" s="17" t="s">
        <v>103</v>
      </c>
      <c r="K190" s="17" t="s">
        <v>137</v>
      </c>
      <c r="L190" s="17" t="s">
        <v>147</v>
      </c>
      <c r="M190" s="17" t="s">
        <v>1598</v>
      </c>
      <c r="N190" s="17" t="s">
        <v>1599</v>
      </c>
      <c r="O190" s="17"/>
      <c r="P190" s="17" t="s">
        <v>16</v>
      </c>
    </row>
    <row r="191" customFormat="false" ht="23.85" hidden="false" customHeight="false" outlineLevel="0" collapsed="false">
      <c r="A191" s="18" t="s">
        <v>1577</v>
      </c>
      <c r="B191" s="18" t="n">
        <v>19</v>
      </c>
      <c r="C191" s="18" t="s">
        <v>1600</v>
      </c>
      <c r="D191" s="18" t="s">
        <v>1601</v>
      </c>
      <c r="E191" s="18" t="s">
        <v>1602</v>
      </c>
      <c r="F191" s="18" t="s">
        <v>1603</v>
      </c>
      <c r="G191" s="18" t="s">
        <v>1604</v>
      </c>
      <c r="H191" s="18" t="s">
        <v>1474</v>
      </c>
      <c r="I191" s="18" t="s">
        <v>172</v>
      </c>
      <c r="J191" s="18" t="s">
        <v>103</v>
      </c>
      <c r="K191" s="18" t="s">
        <v>137</v>
      </c>
      <c r="L191" s="18" t="s">
        <v>181</v>
      </c>
      <c r="M191" s="18" t="s">
        <v>1605</v>
      </c>
      <c r="N191" s="18" t="s">
        <v>1606</v>
      </c>
      <c r="O191" s="18" t="s">
        <v>891</v>
      </c>
      <c r="P191" s="18" t="s">
        <v>14</v>
      </c>
    </row>
    <row r="192" customFormat="false" ht="15" hidden="false" customHeight="false" outlineLevel="0" collapsed="false">
      <c r="A192" s="17" t="s">
        <v>1577</v>
      </c>
      <c r="B192" s="17" t="n">
        <v>19</v>
      </c>
      <c r="C192" s="17" t="s">
        <v>1607</v>
      </c>
      <c r="D192" s="17" t="s">
        <v>1608</v>
      </c>
      <c r="E192" s="17" t="s">
        <v>1609</v>
      </c>
      <c r="F192" s="17" t="s">
        <v>1610</v>
      </c>
      <c r="G192" s="17" t="s">
        <v>1611</v>
      </c>
      <c r="H192" s="17" t="s">
        <v>1612</v>
      </c>
      <c r="I192" s="17" t="s">
        <v>136</v>
      </c>
      <c r="J192" s="17" t="s">
        <v>103</v>
      </c>
      <c r="K192" s="17" t="s">
        <v>137</v>
      </c>
      <c r="L192" s="17" t="s">
        <v>181</v>
      </c>
      <c r="M192" s="17" t="s">
        <v>1613</v>
      </c>
      <c r="N192" s="17" t="s">
        <v>1614</v>
      </c>
      <c r="O192" s="17"/>
      <c r="P192" s="17" t="s">
        <v>16</v>
      </c>
    </row>
    <row r="193" customFormat="false" ht="15" hidden="false" customHeight="false" outlineLevel="0" collapsed="false">
      <c r="A193" s="18" t="s">
        <v>1577</v>
      </c>
      <c r="B193" s="18" t="n">
        <v>19</v>
      </c>
      <c r="C193" s="18" t="s">
        <v>1615</v>
      </c>
      <c r="D193" s="18" t="s">
        <v>1616</v>
      </c>
      <c r="E193" s="18" t="s">
        <v>1617</v>
      </c>
      <c r="F193" s="18" t="s">
        <v>1618</v>
      </c>
      <c r="G193" s="18" t="s">
        <v>1619</v>
      </c>
      <c r="H193" s="18" t="s">
        <v>1620</v>
      </c>
      <c r="I193" s="18" t="s">
        <v>136</v>
      </c>
      <c r="J193" s="18" t="s">
        <v>103</v>
      </c>
      <c r="K193" s="18" t="s">
        <v>137</v>
      </c>
      <c r="L193" s="18" t="s">
        <v>181</v>
      </c>
      <c r="M193" s="18" t="s">
        <v>1621</v>
      </c>
      <c r="N193" s="18" t="s">
        <v>1622</v>
      </c>
      <c r="O193" s="18"/>
      <c r="P193" s="18" t="s">
        <v>16</v>
      </c>
    </row>
    <row r="194" customFormat="false" ht="23.85" hidden="false" customHeight="false" outlineLevel="0" collapsed="false">
      <c r="A194" s="17" t="s">
        <v>1577</v>
      </c>
      <c r="B194" s="17" t="n">
        <v>19</v>
      </c>
      <c r="C194" s="17" t="s">
        <v>1623</v>
      </c>
      <c r="D194" s="17" t="s">
        <v>1624</v>
      </c>
      <c r="E194" s="17" t="s">
        <v>1625</v>
      </c>
      <c r="F194" s="17" t="s">
        <v>1626</v>
      </c>
      <c r="G194" s="17" t="s">
        <v>1627</v>
      </c>
      <c r="H194" s="17" t="s">
        <v>1578</v>
      </c>
      <c r="I194" s="17" t="s">
        <v>136</v>
      </c>
      <c r="J194" s="17" t="s">
        <v>103</v>
      </c>
      <c r="K194" s="17" t="s">
        <v>137</v>
      </c>
      <c r="L194" s="17" t="s">
        <v>181</v>
      </c>
      <c r="M194" s="17" t="s">
        <v>1628</v>
      </c>
      <c r="N194" s="17" t="s">
        <v>1629</v>
      </c>
      <c r="O194" s="17" t="s">
        <v>1630</v>
      </c>
      <c r="P194" s="17" t="s">
        <v>16</v>
      </c>
    </row>
    <row r="195" customFormat="false" ht="15" hidden="false" customHeight="false" outlineLevel="0" collapsed="false">
      <c r="A195" s="18" t="s">
        <v>1577</v>
      </c>
      <c r="B195" s="18" t="n">
        <v>19</v>
      </c>
      <c r="C195" s="18" t="s">
        <v>1631</v>
      </c>
      <c r="D195" s="18" t="s">
        <v>1632</v>
      </c>
      <c r="E195" s="18" t="s">
        <v>1633</v>
      </c>
      <c r="F195" s="18" t="s">
        <v>1634</v>
      </c>
      <c r="G195" s="18" t="s">
        <v>1635</v>
      </c>
      <c r="H195" s="18" t="s">
        <v>1636</v>
      </c>
      <c r="I195" s="18" t="s">
        <v>136</v>
      </c>
      <c r="J195" s="18" t="s">
        <v>103</v>
      </c>
      <c r="K195" s="18" t="s">
        <v>137</v>
      </c>
      <c r="L195" s="18" t="s">
        <v>181</v>
      </c>
      <c r="M195" s="18" t="s">
        <v>1637</v>
      </c>
      <c r="N195" s="18" t="s">
        <v>1638</v>
      </c>
      <c r="O195" s="18"/>
      <c r="P195" s="18" t="s">
        <v>16</v>
      </c>
    </row>
    <row r="196" customFormat="false" ht="15" hidden="false" customHeight="false" outlineLevel="0" collapsed="false">
      <c r="A196" s="17" t="s">
        <v>1577</v>
      </c>
      <c r="B196" s="17" t="n">
        <v>19</v>
      </c>
      <c r="C196" s="17" t="s">
        <v>1639</v>
      </c>
      <c r="D196" s="17" t="s">
        <v>1640</v>
      </c>
      <c r="E196" s="17" t="s">
        <v>1641</v>
      </c>
      <c r="F196" s="17" t="s">
        <v>1642</v>
      </c>
      <c r="G196" s="17" t="s">
        <v>1643</v>
      </c>
      <c r="H196" s="17" t="s">
        <v>1644</v>
      </c>
      <c r="I196" s="17" t="s">
        <v>172</v>
      </c>
      <c r="J196" s="17" t="s">
        <v>103</v>
      </c>
      <c r="K196" s="17" t="s">
        <v>137</v>
      </c>
      <c r="L196" s="17" t="s">
        <v>181</v>
      </c>
      <c r="M196" s="17" t="s">
        <v>1645</v>
      </c>
      <c r="N196" s="17" t="s">
        <v>1646</v>
      </c>
      <c r="O196" s="17"/>
      <c r="P196" s="17" t="s">
        <v>16</v>
      </c>
    </row>
    <row r="197" customFormat="false" ht="15" hidden="false" customHeight="false" outlineLevel="0" collapsed="false">
      <c r="A197" s="18" t="s">
        <v>1577</v>
      </c>
      <c r="B197" s="18" t="n">
        <v>19</v>
      </c>
      <c r="C197" s="18" t="s">
        <v>1647</v>
      </c>
      <c r="D197" s="18" t="s">
        <v>1648</v>
      </c>
      <c r="E197" s="18" t="s">
        <v>1649</v>
      </c>
      <c r="F197" s="18" t="s">
        <v>1650</v>
      </c>
      <c r="G197" s="18" t="s">
        <v>1651</v>
      </c>
      <c r="H197" s="18" t="s">
        <v>1607</v>
      </c>
      <c r="I197" s="18" t="s">
        <v>136</v>
      </c>
      <c r="J197" s="18" t="s">
        <v>103</v>
      </c>
      <c r="K197" s="18" t="s">
        <v>137</v>
      </c>
      <c r="L197" s="18" t="s">
        <v>147</v>
      </c>
      <c r="M197" s="18" t="s">
        <v>1652</v>
      </c>
      <c r="N197" s="18" t="s">
        <v>1653</v>
      </c>
      <c r="O197" s="18"/>
      <c r="P197" s="18" t="s">
        <v>16</v>
      </c>
    </row>
    <row r="198" customFormat="false" ht="15" hidden="false" customHeight="false" outlineLevel="0" collapsed="false">
      <c r="A198" s="17" t="s">
        <v>1577</v>
      </c>
      <c r="B198" s="17" t="n">
        <v>19</v>
      </c>
      <c r="C198" s="17" t="s">
        <v>1654</v>
      </c>
      <c r="D198" s="17" t="s">
        <v>1655</v>
      </c>
      <c r="E198" s="17" t="s">
        <v>1656</v>
      </c>
      <c r="F198" s="17" t="s">
        <v>1657</v>
      </c>
      <c r="G198" s="17" t="s">
        <v>1658</v>
      </c>
      <c r="H198" s="17" t="s">
        <v>1623</v>
      </c>
      <c r="I198" s="17" t="s">
        <v>172</v>
      </c>
      <c r="J198" s="17" t="s">
        <v>103</v>
      </c>
      <c r="K198" s="17" t="s">
        <v>137</v>
      </c>
      <c r="L198" s="17" t="s">
        <v>181</v>
      </c>
      <c r="M198" s="17" t="s">
        <v>1659</v>
      </c>
      <c r="N198" s="17" t="s">
        <v>1660</v>
      </c>
      <c r="O198" s="17"/>
      <c r="P198" s="17" t="s">
        <v>16</v>
      </c>
    </row>
    <row r="199" customFormat="false" ht="23.85" hidden="false" customHeight="false" outlineLevel="0" collapsed="false">
      <c r="A199" s="18" t="s">
        <v>1661</v>
      </c>
      <c r="B199" s="18" t="n">
        <v>20</v>
      </c>
      <c r="C199" s="18" t="s">
        <v>1662</v>
      </c>
      <c r="D199" s="18" t="s">
        <v>1663</v>
      </c>
      <c r="E199" s="18" t="s">
        <v>1664</v>
      </c>
      <c r="F199" s="18" t="s">
        <v>1665</v>
      </c>
      <c r="G199" s="18" t="s">
        <v>1666</v>
      </c>
      <c r="H199" s="18" t="s">
        <v>176</v>
      </c>
      <c r="I199" s="18" t="s">
        <v>136</v>
      </c>
      <c r="J199" s="18" t="s">
        <v>103</v>
      </c>
      <c r="K199" s="18" t="s">
        <v>137</v>
      </c>
      <c r="L199" s="18" t="s">
        <v>181</v>
      </c>
      <c r="M199" s="18" t="s">
        <v>1667</v>
      </c>
      <c r="N199" s="18" t="s">
        <v>1668</v>
      </c>
      <c r="O199" s="18" t="s">
        <v>1669</v>
      </c>
      <c r="P199" s="18" t="s">
        <v>14</v>
      </c>
    </row>
    <row r="200" customFormat="false" ht="23.85" hidden="false" customHeight="false" outlineLevel="0" collapsed="false">
      <c r="A200" s="17" t="s">
        <v>1661</v>
      </c>
      <c r="B200" s="17" t="n">
        <v>20</v>
      </c>
      <c r="C200" s="17" t="s">
        <v>1670</v>
      </c>
      <c r="D200" s="17" t="s">
        <v>1671</v>
      </c>
      <c r="E200" s="17" t="s">
        <v>1672</v>
      </c>
      <c r="F200" s="17" t="s">
        <v>1673</v>
      </c>
      <c r="G200" s="17" t="s">
        <v>1674</v>
      </c>
      <c r="H200" s="17" t="s">
        <v>1675</v>
      </c>
      <c r="I200" s="17" t="s">
        <v>136</v>
      </c>
      <c r="J200" s="17" t="s">
        <v>103</v>
      </c>
      <c r="K200" s="17" t="s">
        <v>137</v>
      </c>
      <c r="L200" s="17" t="s">
        <v>138</v>
      </c>
      <c r="M200" s="17" t="s">
        <v>1676</v>
      </c>
      <c r="N200" s="17" t="s">
        <v>1677</v>
      </c>
      <c r="O200" s="17" t="s">
        <v>1678</v>
      </c>
      <c r="P200" s="17" t="s">
        <v>14</v>
      </c>
    </row>
    <row r="201" customFormat="false" ht="15" hidden="false" customHeight="false" outlineLevel="0" collapsed="false">
      <c r="A201" s="18" t="s">
        <v>1661</v>
      </c>
      <c r="B201" s="18" t="n">
        <v>20</v>
      </c>
      <c r="C201" s="18" t="s">
        <v>1679</v>
      </c>
      <c r="D201" s="18" t="s">
        <v>1680</v>
      </c>
      <c r="E201" s="18" t="s">
        <v>1681</v>
      </c>
      <c r="F201" s="18" t="s">
        <v>1682</v>
      </c>
      <c r="G201" s="18" t="s">
        <v>1683</v>
      </c>
      <c r="H201" s="18" t="s">
        <v>1684</v>
      </c>
      <c r="I201" s="18" t="s">
        <v>136</v>
      </c>
      <c r="J201" s="18" t="s">
        <v>103</v>
      </c>
      <c r="K201" s="18" t="s">
        <v>137</v>
      </c>
      <c r="L201" s="18" t="s">
        <v>181</v>
      </c>
      <c r="M201" s="18" t="s">
        <v>1685</v>
      </c>
      <c r="N201" s="18" t="s">
        <v>1686</v>
      </c>
      <c r="O201" s="18" t="s">
        <v>1687</v>
      </c>
      <c r="P201" s="18" t="s">
        <v>20</v>
      </c>
    </row>
    <row r="202" customFormat="false" ht="15" hidden="false" customHeight="false" outlineLevel="0" collapsed="false">
      <c r="A202" s="17" t="s">
        <v>1661</v>
      </c>
      <c r="B202" s="17" t="n">
        <v>20</v>
      </c>
      <c r="C202" s="17" t="s">
        <v>1688</v>
      </c>
      <c r="D202" s="17" t="s">
        <v>1689</v>
      </c>
      <c r="E202" s="17" t="s">
        <v>1690</v>
      </c>
      <c r="F202" s="17" t="s">
        <v>1691</v>
      </c>
      <c r="G202" s="17" t="s">
        <v>1692</v>
      </c>
      <c r="H202" s="17" t="s">
        <v>1679</v>
      </c>
      <c r="I202" s="17" t="s">
        <v>136</v>
      </c>
      <c r="J202" s="17" t="s">
        <v>103</v>
      </c>
      <c r="K202" s="17" t="s">
        <v>137</v>
      </c>
      <c r="L202" s="17" t="s">
        <v>147</v>
      </c>
      <c r="M202" s="17" t="s">
        <v>1693</v>
      </c>
      <c r="N202" s="17" t="s">
        <v>1694</v>
      </c>
      <c r="O202" s="17"/>
      <c r="P202" s="17" t="s">
        <v>16</v>
      </c>
    </row>
    <row r="203" customFormat="false" ht="15" hidden="false" customHeight="false" outlineLevel="0" collapsed="false">
      <c r="A203" s="18" t="s">
        <v>1661</v>
      </c>
      <c r="B203" s="18" t="n">
        <v>20</v>
      </c>
      <c r="C203" s="18" t="s">
        <v>1695</v>
      </c>
      <c r="D203" s="18" t="s">
        <v>1696</v>
      </c>
      <c r="E203" s="18" t="s">
        <v>1697</v>
      </c>
      <c r="F203" s="18" t="s">
        <v>1698</v>
      </c>
      <c r="G203" s="18" t="s">
        <v>1699</v>
      </c>
      <c r="H203" s="18" t="s">
        <v>1688</v>
      </c>
      <c r="I203" s="18" t="s">
        <v>172</v>
      </c>
      <c r="J203" s="18" t="s">
        <v>103</v>
      </c>
      <c r="K203" s="18" t="s">
        <v>137</v>
      </c>
      <c r="L203" s="18" t="s">
        <v>181</v>
      </c>
      <c r="M203" s="18" t="s">
        <v>1700</v>
      </c>
      <c r="N203" s="18" t="s">
        <v>1701</v>
      </c>
      <c r="O203" s="18"/>
      <c r="P203" s="18" t="s">
        <v>16</v>
      </c>
    </row>
    <row r="204" customFormat="false" ht="15" hidden="false" customHeight="false" outlineLevel="0" collapsed="false">
      <c r="A204" s="17" t="s">
        <v>1661</v>
      </c>
      <c r="B204" s="17" t="n">
        <v>20</v>
      </c>
      <c r="C204" s="17" t="s">
        <v>1702</v>
      </c>
      <c r="D204" s="17" t="s">
        <v>1703</v>
      </c>
      <c r="E204" s="17" t="s">
        <v>1704</v>
      </c>
      <c r="F204" s="17" t="s">
        <v>1705</v>
      </c>
      <c r="G204" s="17" t="s">
        <v>1706</v>
      </c>
      <c r="H204" s="17" t="s">
        <v>1695</v>
      </c>
      <c r="I204" s="17" t="s">
        <v>136</v>
      </c>
      <c r="J204" s="17" t="s">
        <v>103</v>
      </c>
      <c r="K204" s="17" t="s">
        <v>137</v>
      </c>
      <c r="L204" s="17" t="s">
        <v>147</v>
      </c>
      <c r="M204" s="17" t="s">
        <v>1707</v>
      </c>
      <c r="N204" s="17" t="s">
        <v>1708</v>
      </c>
      <c r="O204" s="17"/>
      <c r="P204" s="17" t="s">
        <v>16</v>
      </c>
    </row>
    <row r="205" customFormat="false" ht="15" hidden="false" customHeight="false" outlineLevel="0" collapsed="false">
      <c r="A205" s="18" t="s">
        <v>1661</v>
      </c>
      <c r="B205" s="18" t="n">
        <v>20</v>
      </c>
      <c r="C205" s="18" t="s">
        <v>1709</v>
      </c>
      <c r="D205" s="18" t="s">
        <v>1710</v>
      </c>
      <c r="E205" s="18" t="s">
        <v>1711</v>
      </c>
      <c r="F205" s="18" t="s">
        <v>1712</v>
      </c>
      <c r="G205" s="18" t="s">
        <v>1713</v>
      </c>
      <c r="H205" s="18" t="s">
        <v>1714</v>
      </c>
      <c r="I205" s="18" t="s">
        <v>136</v>
      </c>
      <c r="J205" s="18" t="s">
        <v>103</v>
      </c>
      <c r="K205" s="18" t="s">
        <v>137</v>
      </c>
      <c r="L205" s="18" t="s">
        <v>147</v>
      </c>
      <c r="M205" s="18" t="s">
        <v>1715</v>
      </c>
      <c r="N205" s="18" t="s">
        <v>1716</v>
      </c>
      <c r="O205" s="18"/>
      <c r="P205" s="18" t="s">
        <v>16</v>
      </c>
    </row>
    <row r="206" customFormat="false" ht="15" hidden="false" customHeight="false" outlineLevel="0" collapsed="false">
      <c r="A206" s="17" t="s">
        <v>1717</v>
      </c>
      <c r="B206" s="17" t="n">
        <v>21</v>
      </c>
      <c r="C206" s="17" t="s">
        <v>1718</v>
      </c>
      <c r="D206" s="17" t="s">
        <v>1719</v>
      </c>
      <c r="E206" s="17" t="s">
        <v>1720</v>
      </c>
      <c r="F206" s="17" t="s">
        <v>1721</v>
      </c>
      <c r="G206" s="17" t="s">
        <v>1722</v>
      </c>
      <c r="H206" s="17" t="s">
        <v>1709</v>
      </c>
      <c r="I206" s="17" t="s">
        <v>136</v>
      </c>
      <c r="J206" s="17" t="s">
        <v>103</v>
      </c>
      <c r="K206" s="17" t="s">
        <v>137</v>
      </c>
      <c r="L206" s="17" t="s">
        <v>181</v>
      </c>
      <c r="M206" s="17" t="s">
        <v>1723</v>
      </c>
      <c r="N206" s="17" t="s">
        <v>1724</v>
      </c>
      <c r="O206" s="17"/>
      <c r="P206" s="17" t="s">
        <v>16</v>
      </c>
    </row>
    <row r="207" customFormat="false" ht="15" hidden="false" customHeight="false" outlineLevel="0" collapsed="false">
      <c r="A207" s="18" t="s">
        <v>1717</v>
      </c>
      <c r="B207" s="18" t="n">
        <v>21</v>
      </c>
      <c r="C207" s="18" t="s">
        <v>1725</v>
      </c>
      <c r="D207" s="18" t="s">
        <v>1726</v>
      </c>
      <c r="E207" s="18" t="s">
        <v>1727</v>
      </c>
      <c r="F207" s="18" t="s">
        <v>1728</v>
      </c>
      <c r="G207" s="18" t="s">
        <v>1729</v>
      </c>
      <c r="H207" s="18" t="s">
        <v>1718</v>
      </c>
      <c r="I207" s="18" t="s">
        <v>136</v>
      </c>
      <c r="J207" s="18" t="s">
        <v>103</v>
      </c>
      <c r="K207" s="18" t="s">
        <v>137</v>
      </c>
      <c r="L207" s="18" t="s">
        <v>379</v>
      </c>
      <c r="M207" s="18" t="s">
        <v>1730</v>
      </c>
      <c r="N207" s="18" t="s">
        <v>1731</v>
      </c>
      <c r="O207" s="18"/>
      <c r="P207" s="18" t="s">
        <v>16</v>
      </c>
    </row>
    <row r="208" customFormat="false" ht="23.85" hidden="false" customHeight="false" outlineLevel="0" collapsed="false">
      <c r="A208" s="17" t="s">
        <v>1717</v>
      </c>
      <c r="B208" s="17" t="n">
        <v>21</v>
      </c>
      <c r="C208" s="17" t="s">
        <v>1732</v>
      </c>
      <c r="D208" s="17" t="s">
        <v>1733</v>
      </c>
      <c r="E208" s="17" t="s">
        <v>1734</v>
      </c>
      <c r="F208" s="17" t="s">
        <v>1735</v>
      </c>
      <c r="G208" s="17" t="s">
        <v>1736</v>
      </c>
      <c r="H208" s="17" t="s">
        <v>1737</v>
      </c>
      <c r="I208" s="17" t="s">
        <v>136</v>
      </c>
      <c r="J208" s="17" t="s">
        <v>103</v>
      </c>
      <c r="K208" s="17" t="s">
        <v>137</v>
      </c>
      <c r="L208" s="17" t="s">
        <v>147</v>
      </c>
      <c r="M208" s="17" t="s">
        <v>1738</v>
      </c>
      <c r="N208" s="17" t="s">
        <v>1739</v>
      </c>
      <c r="O208" s="17" t="s">
        <v>1740</v>
      </c>
      <c r="P208" s="17" t="s">
        <v>14</v>
      </c>
    </row>
    <row r="209" customFormat="false" ht="23.85" hidden="false" customHeight="false" outlineLevel="0" collapsed="false">
      <c r="A209" s="18" t="s">
        <v>1717</v>
      </c>
      <c r="B209" s="18" t="n">
        <v>21</v>
      </c>
      <c r="C209" s="18" t="s">
        <v>1741</v>
      </c>
      <c r="D209" s="18" t="s">
        <v>1742</v>
      </c>
      <c r="E209" s="18" t="s">
        <v>1743</v>
      </c>
      <c r="F209" s="18" t="s">
        <v>1744</v>
      </c>
      <c r="G209" s="18" t="s">
        <v>1745</v>
      </c>
      <c r="H209" s="18" t="s">
        <v>1746</v>
      </c>
      <c r="I209" s="18" t="s">
        <v>172</v>
      </c>
      <c r="J209" s="18" t="s">
        <v>103</v>
      </c>
      <c r="K209" s="18" t="s">
        <v>137</v>
      </c>
      <c r="L209" s="18" t="s">
        <v>181</v>
      </c>
      <c r="M209" s="18" t="s">
        <v>1747</v>
      </c>
      <c r="N209" s="18" t="s">
        <v>1748</v>
      </c>
      <c r="O209" s="18" t="s">
        <v>1749</v>
      </c>
      <c r="P209" s="18" t="s">
        <v>14</v>
      </c>
    </row>
    <row r="210" customFormat="false" ht="15" hidden="false" customHeight="false" outlineLevel="0" collapsed="false">
      <c r="A210" s="17" t="s">
        <v>1717</v>
      </c>
      <c r="B210" s="17" t="n">
        <v>21</v>
      </c>
      <c r="C210" s="17" t="s">
        <v>1750</v>
      </c>
      <c r="D210" s="17" t="s">
        <v>1751</v>
      </c>
      <c r="E210" s="17" t="s">
        <v>1752</v>
      </c>
      <c r="F210" s="17" t="s">
        <v>1753</v>
      </c>
      <c r="G210" s="17" t="s">
        <v>1754</v>
      </c>
      <c r="H210" s="17" t="s">
        <v>1732</v>
      </c>
      <c r="I210" s="17" t="s">
        <v>172</v>
      </c>
      <c r="J210" s="17" t="s">
        <v>103</v>
      </c>
      <c r="K210" s="17" t="s">
        <v>137</v>
      </c>
      <c r="L210" s="17" t="s">
        <v>379</v>
      </c>
      <c r="M210" s="17" t="s">
        <v>1755</v>
      </c>
      <c r="N210" s="17" t="s">
        <v>1756</v>
      </c>
      <c r="O210" s="17"/>
      <c r="P210" s="17" t="s">
        <v>16</v>
      </c>
    </row>
    <row r="211" customFormat="false" ht="15" hidden="false" customHeight="false" outlineLevel="0" collapsed="false">
      <c r="A211" s="18" t="s">
        <v>1717</v>
      </c>
      <c r="B211" s="18" t="n">
        <v>21</v>
      </c>
      <c r="C211" s="18" t="s">
        <v>1757</v>
      </c>
      <c r="D211" s="18" t="s">
        <v>1758</v>
      </c>
      <c r="E211" s="18" t="s">
        <v>1759</v>
      </c>
      <c r="F211" s="18" t="s">
        <v>1760</v>
      </c>
      <c r="G211" s="18" t="s">
        <v>1761</v>
      </c>
      <c r="H211" s="18" t="s">
        <v>1302</v>
      </c>
      <c r="I211" s="18" t="s">
        <v>172</v>
      </c>
      <c r="J211" s="18" t="s">
        <v>103</v>
      </c>
      <c r="K211" s="18" t="s">
        <v>137</v>
      </c>
      <c r="L211" s="18" t="s">
        <v>181</v>
      </c>
      <c r="M211" s="18" t="s">
        <v>1762</v>
      </c>
      <c r="N211" s="18" t="s">
        <v>1763</v>
      </c>
      <c r="O211" s="18"/>
      <c r="P211" s="18" t="s">
        <v>16</v>
      </c>
    </row>
    <row r="212" customFormat="false" ht="23.85" hidden="false" customHeight="false" outlineLevel="0" collapsed="false">
      <c r="A212" s="17" t="s">
        <v>1764</v>
      </c>
      <c r="B212" s="17" t="n">
        <v>22</v>
      </c>
      <c r="C212" s="17" t="s">
        <v>1765</v>
      </c>
      <c r="D212" s="17" t="s">
        <v>1766</v>
      </c>
      <c r="E212" s="17" t="s">
        <v>1767</v>
      </c>
      <c r="F212" s="17" t="s">
        <v>1768</v>
      </c>
      <c r="G212" s="17" t="s">
        <v>1769</v>
      </c>
      <c r="H212" s="17" t="s">
        <v>1732</v>
      </c>
      <c r="I212" s="17" t="s">
        <v>136</v>
      </c>
      <c r="J212" s="17" t="s">
        <v>103</v>
      </c>
      <c r="K212" s="17" t="s">
        <v>137</v>
      </c>
      <c r="L212" s="17" t="s">
        <v>181</v>
      </c>
      <c r="M212" s="17" t="s">
        <v>222</v>
      </c>
      <c r="N212" s="17" t="s">
        <v>1770</v>
      </c>
      <c r="O212" s="17" t="s">
        <v>1771</v>
      </c>
      <c r="P212" s="17" t="s">
        <v>18</v>
      </c>
    </row>
    <row r="213" customFormat="false" ht="15" hidden="false" customHeight="false" outlineLevel="0" collapsed="false">
      <c r="A213" s="18" t="s">
        <v>1764</v>
      </c>
      <c r="B213" s="18" t="n">
        <v>22</v>
      </c>
      <c r="C213" s="18" t="s">
        <v>1772</v>
      </c>
      <c r="D213" s="18" t="s">
        <v>1773</v>
      </c>
      <c r="E213" s="18" t="s">
        <v>1774</v>
      </c>
      <c r="F213" s="18" t="s">
        <v>1775</v>
      </c>
      <c r="G213" s="18" t="s">
        <v>1776</v>
      </c>
      <c r="H213" s="18" t="s">
        <v>1765</v>
      </c>
      <c r="I213" s="18" t="s">
        <v>172</v>
      </c>
      <c r="J213" s="18" t="s">
        <v>103</v>
      </c>
      <c r="K213" s="18" t="s">
        <v>137</v>
      </c>
      <c r="L213" s="18" t="s">
        <v>379</v>
      </c>
      <c r="M213" s="18" t="s">
        <v>1777</v>
      </c>
      <c r="N213" s="18" t="s">
        <v>1778</v>
      </c>
      <c r="O213" s="18" t="s">
        <v>1779</v>
      </c>
      <c r="P213" s="18" t="s">
        <v>16</v>
      </c>
    </row>
    <row r="214" customFormat="false" ht="15" hidden="false" customHeight="false" outlineLevel="0" collapsed="false">
      <c r="A214" s="17" t="s">
        <v>1764</v>
      </c>
      <c r="B214" s="17" t="n">
        <v>22</v>
      </c>
      <c r="C214" s="17" t="s">
        <v>1780</v>
      </c>
      <c r="D214" s="17" t="s">
        <v>1781</v>
      </c>
      <c r="E214" s="17" t="s">
        <v>1782</v>
      </c>
      <c r="F214" s="17" t="s">
        <v>1783</v>
      </c>
      <c r="G214" s="17" t="s">
        <v>1784</v>
      </c>
      <c r="H214" s="17" t="s">
        <v>1785</v>
      </c>
      <c r="I214" s="17" t="s">
        <v>172</v>
      </c>
      <c r="J214" s="17" t="s">
        <v>103</v>
      </c>
      <c r="K214" s="17" t="s">
        <v>137</v>
      </c>
      <c r="L214" s="17" t="s">
        <v>181</v>
      </c>
      <c r="M214" s="17" t="s">
        <v>1786</v>
      </c>
      <c r="N214" s="17" t="s">
        <v>1787</v>
      </c>
      <c r="O214" s="17"/>
      <c r="P214" s="17" t="s">
        <v>16</v>
      </c>
    </row>
    <row r="215" customFormat="false" ht="23.85" hidden="false" customHeight="false" outlineLevel="0" collapsed="false">
      <c r="A215" s="18" t="s">
        <v>1764</v>
      </c>
      <c r="B215" s="18" t="n">
        <v>22</v>
      </c>
      <c r="C215" s="18" t="s">
        <v>1788</v>
      </c>
      <c r="D215" s="18" t="s">
        <v>1789</v>
      </c>
      <c r="E215" s="18" t="s">
        <v>1790</v>
      </c>
      <c r="F215" s="18" t="s">
        <v>1791</v>
      </c>
      <c r="G215" s="18" t="s">
        <v>1792</v>
      </c>
      <c r="H215" s="18" t="s">
        <v>509</v>
      </c>
      <c r="I215" s="18" t="s">
        <v>172</v>
      </c>
      <c r="J215" s="18" t="s">
        <v>103</v>
      </c>
      <c r="K215" s="18" t="s">
        <v>137</v>
      </c>
      <c r="L215" s="18" t="s">
        <v>181</v>
      </c>
      <c r="M215" s="18" t="s">
        <v>1793</v>
      </c>
      <c r="N215" s="18" t="s">
        <v>1794</v>
      </c>
      <c r="O215" s="18"/>
      <c r="P215" s="18" t="s">
        <v>16</v>
      </c>
    </row>
    <row r="216" customFormat="false" ht="15" hidden="false" customHeight="false" outlineLevel="0" collapsed="false">
      <c r="A216" s="17" t="s">
        <v>1764</v>
      </c>
      <c r="B216" s="17" t="n">
        <v>22</v>
      </c>
      <c r="C216" s="17" t="s">
        <v>1795</v>
      </c>
      <c r="D216" s="17" t="s">
        <v>1796</v>
      </c>
      <c r="E216" s="17" t="s">
        <v>1797</v>
      </c>
      <c r="F216" s="17" t="s">
        <v>1798</v>
      </c>
      <c r="G216" s="17" t="s">
        <v>1799</v>
      </c>
      <c r="H216" s="17" t="s">
        <v>1800</v>
      </c>
      <c r="I216" s="17" t="s">
        <v>274</v>
      </c>
      <c r="J216" s="17" t="s">
        <v>103</v>
      </c>
      <c r="K216" s="17" t="s">
        <v>137</v>
      </c>
      <c r="L216" s="17" t="s">
        <v>147</v>
      </c>
      <c r="M216" s="17" t="s">
        <v>1801</v>
      </c>
      <c r="N216" s="17" t="s">
        <v>1802</v>
      </c>
      <c r="O216" s="17"/>
      <c r="P216" s="17" t="s">
        <v>16</v>
      </c>
    </row>
    <row r="217" customFormat="false" ht="23.85" hidden="false" customHeight="false" outlineLevel="0" collapsed="false">
      <c r="A217" s="18" t="s">
        <v>1803</v>
      </c>
      <c r="B217" s="18" t="n">
        <v>23</v>
      </c>
      <c r="C217" s="18" t="s">
        <v>1804</v>
      </c>
      <c r="D217" s="18" t="s">
        <v>1805</v>
      </c>
      <c r="E217" s="18" t="s">
        <v>1806</v>
      </c>
      <c r="F217" s="18" t="s">
        <v>1807</v>
      </c>
      <c r="G217" s="18" t="s">
        <v>1808</v>
      </c>
      <c r="H217" s="18" t="s">
        <v>1765</v>
      </c>
      <c r="I217" s="18" t="s">
        <v>136</v>
      </c>
      <c r="J217" s="18" t="s">
        <v>103</v>
      </c>
      <c r="K217" s="18" t="s">
        <v>137</v>
      </c>
      <c r="L217" s="18" t="s">
        <v>181</v>
      </c>
      <c r="M217" s="18" t="s">
        <v>222</v>
      </c>
      <c r="N217" s="18" t="s">
        <v>1809</v>
      </c>
      <c r="O217" s="18" t="s">
        <v>1810</v>
      </c>
      <c r="P217" s="18" t="s">
        <v>18</v>
      </c>
    </row>
    <row r="218" customFormat="false" ht="15" hidden="false" customHeight="false" outlineLevel="0" collapsed="false">
      <c r="A218" s="17" t="s">
        <v>1803</v>
      </c>
      <c r="B218" s="17" t="n">
        <v>23</v>
      </c>
      <c r="C218" s="17" t="s">
        <v>1811</v>
      </c>
      <c r="D218" s="17" t="s">
        <v>1812</v>
      </c>
      <c r="E218" s="17" t="s">
        <v>1813</v>
      </c>
      <c r="F218" s="17" t="s">
        <v>1814</v>
      </c>
      <c r="G218" s="17" t="s">
        <v>1815</v>
      </c>
      <c r="H218" s="17" t="s">
        <v>1816</v>
      </c>
      <c r="I218" s="17" t="s">
        <v>172</v>
      </c>
      <c r="J218" s="17" t="s">
        <v>103</v>
      </c>
      <c r="K218" s="17" t="s">
        <v>137</v>
      </c>
      <c r="L218" s="17" t="s">
        <v>379</v>
      </c>
      <c r="M218" s="17" t="s">
        <v>1817</v>
      </c>
      <c r="N218" s="17" t="s">
        <v>1818</v>
      </c>
      <c r="O218" s="17"/>
      <c r="P218" s="17" t="s">
        <v>16</v>
      </c>
    </row>
    <row r="219" customFormat="false" ht="15" hidden="false" customHeight="false" outlineLevel="0" collapsed="false">
      <c r="A219" s="18" t="s">
        <v>1803</v>
      </c>
      <c r="B219" s="18" t="n">
        <v>23</v>
      </c>
      <c r="C219" s="18" t="s">
        <v>1819</v>
      </c>
      <c r="D219" s="18" t="s">
        <v>1820</v>
      </c>
      <c r="E219" s="18" t="s">
        <v>1821</v>
      </c>
      <c r="F219" s="18" t="s">
        <v>1822</v>
      </c>
      <c r="G219" s="18" t="s">
        <v>1823</v>
      </c>
      <c r="H219" s="18" t="s">
        <v>1824</v>
      </c>
      <c r="I219" s="18" t="s">
        <v>136</v>
      </c>
      <c r="J219" s="18" t="s">
        <v>103</v>
      </c>
      <c r="K219" s="18" t="s">
        <v>137</v>
      </c>
      <c r="L219" s="18" t="s">
        <v>138</v>
      </c>
      <c r="M219" s="18" t="s">
        <v>1825</v>
      </c>
      <c r="N219" s="18" t="s">
        <v>1826</v>
      </c>
      <c r="O219" s="18"/>
      <c r="P219" s="18" t="s">
        <v>16</v>
      </c>
    </row>
    <row r="220" customFormat="false" ht="23.85" hidden="false" customHeight="false" outlineLevel="0" collapsed="false">
      <c r="A220" s="17" t="s">
        <v>1803</v>
      </c>
      <c r="B220" s="17" t="n">
        <v>23</v>
      </c>
      <c r="C220" s="17" t="s">
        <v>1827</v>
      </c>
      <c r="D220" s="17" t="s">
        <v>1828</v>
      </c>
      <c r="E220" s="17" t="s">
        <v>1829</v>
      </c>
      <c r="F220" s="17" t="s">
        <v>1830</v>
      </c>
      <c r="G220" s="17" t="s">
        <v>1831</v>
      </c>
      <c r="H220" s="17" t="s">
        <v>1832</v>
      </c>
      <c r="I220" s="17" t="s">
        <v>172</v>
      </c>
      <c r="J220" s="17" t="s">
        <v>103</v>
      </c>
      <c r="K220" s="17" t="s">
        <v>137</v>
      </c>
      <c r="L220" s="17" t="s">
        <v>138</v>
      </c>
      <c r="M220" s="17" t="s">
        <v>1833</v>
      </c>
      <c r="N220" s="17" t="s">
        <v>1834</v>
      </c>
      <c r="O220" s="17" t="s">
        <v>1835</v>
      </c>
      <c r="P220" s="17" t="s">
        <v>14</v>
      </c>
    </row>
    <row r="221" customFormat="false" ht="15" hidden="false" customHeight="false" outlineLevel="0" collapsed="false">
      <c r="A221" s="18" t="s">
        <v>1803</v>
      </c>
      <c r="B221" s="18" t="n">
        <v>23</v>
      </c>
      <c r="C221" s="18" t="s">
        <v>1836</v>
      </c>
      <c r="D221" s="18" t="s">
        <v>1837</v>
      </c>
      <c r="E221" s="18" t="s">
        <v>1838</v>
      </c>
      <c r="F221" s="18" t="s">
        <v>1839</v>
      </c>
      <c r="G221" s="18" t="s">
        <v>1840</v>
      </c>
      <c r="H221" s="18" t="s">
        <v>1819</v>
      </c>
      <c r="I221" s="18" t="s">
        <v>136</v>
      </c>
      <c r="J221" s="18" t="s">
        <v>103</v>
      </c>
      <c r="K221" s="18" t="s">
        <v>137</v>
      </c>
      <c r="L221" s="18" t="s">
        <v>379</v>
      </c>
      <c r="M221" s="18" t="s">
        <v>1841</v>
      </c>
      <c r="N221" s="18" t="s">
        <v>1842</v>
      </c>
      <c r="O221" s="18"/>
      <c r="P221" s="18" t="s">
        <v>16</v>
      </c>
    </row>
    <row r="222" customFormat="false" ht="15" hidden="false" customHeight="false" outlineLevel="0" collapsed="false">
      <c r="A222" s="17" t="s">
        <v>1803</v>
      </c>
      <c r="B222" s="17" t="n">
        <v>23</v>
      </c>
      <c r="C222" s="17" t="s">
        <v>1843</v>
      </c>
      <c r="D222" s="17" t="s">
        <v>1844</v>
      </c>
      <c r="E222" s="17" t="s">
        <v>1845</v>
      </c>
      <c r="F222" s="17" t="s">
        <v>1846</v>
      </c>
      <c r="G222" s="17" t="s">
        <v>1847</v>
      </c>
      <c r="H222" s="17" t="s">
        <v>1836</v>
      </c>
      <c r="I222" s="17" t="s">
        <v>172</v>
      </c>
      <c r="J222" s="17" t="s">
        <v>103</v>
      </c>
      <c r="K222" s="17" t="s">
        <v>137</v>
      </c>
      <c r="L222" s="17" t="s">
        <v>181</v>
      </c>
      <c r="M222" s="17" t="s">
        <v>1848</v>
      </c>
      <c r="N222" s="17" t="s">
        <v>1849</v>
      </c>
      <c r="O222" s="17"/>
      <c r="P222" s="17" t="s">
        <v>16</v>
      </c>
    </row>
  </sheetData>
  <autoFilter ref="A9:P222"/>
  <mergeCells count="2">
    <mergeCell ref="A2:H2"/>
    <mergeCell ref="A3:H3"/>
  </mergeCells>
  <conditionalFormatting sqref="J10:J222">
    <cfRule type="expression" priority="2" aboveAverage="0" equalAverage="0" bottom="0" percent="0" rank="0" text="" dxfId="16">
      <formula>EXACT($J10,"NOT STARTED")</formula>
    </cfRule>
    <cfRule type="expression" priority="3" aboveAverage="0" equalAverage="0" bottom="0" percent="0" rank="0" text="" dxfId="17">
      <formula>EXACT($J10,"IN PROGRESS")</formula>
    </cfRule>
    <cfRule type="expression" priority="4" aboveAverage="0" equalAverage="0" bottom="0" percent="0" rank="0" text="" dxfId="18">
      <formula>EXACT($J10,"BLOCKED")</formula>
    </cfRule>
    <cfRule type="expression" priority="5" aboveAverage="0" equalAverage="0" bottom="0" percent="0" rank="0" text="" dxfId="19">
      <formula>EXACT($J10,"REVIEW")</formula>
    </cfRule>
    <cfRule type="expression" priority="6" aboveAverage="0" equalAverage="0" bottom="0" percent="0" rank="0" text="" dxfId="20">
      <formula>EXACT($J10,"DONE")</formula>
    </cfRule>
    <cfRule type="expression" priority="7" aboveAverage="0" equalAverage="0" bottom="0" percent="0" rank="0" text="" dxfId="21">
      <formula>EXACT($J10,"DEFERRED")</formula>
    </cfRule>
  </conditionalFormatting>
  <conditionalFormatting sqref="I10:I222">
    <cfRule type="expression" priority="8" aboveAverage="0" equalAverage="0" bottom="0" percent="0" rank="0" text="" dxfId="18">
      <formula>EXACT($I10,"CRITICAL")</formula>
    </cfRule>
    <cfRule type="expression" priority="9" aboveAverage="0" equalAverage="0" bottom="0" percent="0" rank="0" text="" dxfId="17">
      <formula>EXACT($I10,"HIGH")</formula>
    </cfRule>
    <cfRule type="expression" priority="10" aboveAverage="0" equalAverage="0" bottom="0" percent="0" rank="0" text="" dxfId="19">
      <formula>EXACT($I10,"MEDIUM")</formula>
    </cfRule>
    <cfRule type="expression" priority="11" aboveAverage="0" equalAverage="0" bottom="0" percent="0" rank="0" text="" dxfId="22">
      <formula>EXACT($I10,"LOW")</formula>
    </cfRule>
  </conditionalFormatting>
  <conditionalFormatting sqref="P10:P222">
    <cfRule type="expression" priority="12" aboveAverage="0" equalAverage="0" bottom="0" percent="0" rank="0" text="" dxfId="20">
      <formula>EXACT($P10,"OBSERVED FROM RESEARCH")</formula>
    </cfRule>
    <cfRule type="expression" priority="13" aboveAverage="0" equalAverage="0" bottom="0" percent="0" rank="0" text="" dxfId="19">
      <formula>EXACT($P10,"PROPOSED")</formula>
    </cfRule>
    <cfRule type="expression" priority="14" aboveAverage="0" equalAverage="0" bottom="0" percent="0" rank="0" text="" dxfId="23">
      <formula>EXACT($P10,"DECISION REQUIRED")</formula>
    </cfRule>
    <cfRule type="expression" priority="15" aboveAverage="0" equalAverage="0" bottom="0" percent="0" rank="0" text="" dxfId="24">
      <formula>EXACT($P10,"USER REQUIREMENT")</formula>
    </cfRule>
  </conditionalFormatting>
  <dataValidations count="3">
    <dataValidation allowBlank="true" errorStyle="stop" operator="between" prompt="Pick one of: NOT STARTED, IN PROGRESS, BLOCKED, REVIEW, DONE, DEFERRED" promptTitle="Status" showDropDown="false" showErrorMessage="false" showInputMessage="true" sqref="J10:J222" type="list">
      <formula1>"NOT STARTED,IN PROGRESS,BLOCKED,REVIEW,DONE,DEFERRED"</formula1>
      <formula2>0</formula2>
    </dataValidation>
    <dataValidation allowBlank="true" errorStyle="stop" operator="between" prompt="Pick one of: CRITICAL, HIGH, MEDIUM, LOW" promptTitle="Priority" showDropDown="false" showErrorMessage="false" showInputMessage="true" sqref="I10:I222" type="list">
      <formula1>"CRITICAL,HIGH,MEDIUM,LOW"</formula1>
      <formula2>0</formula2>
    </dataValidation>
    <dataValidation allowBlank="true" errorStyle="stop" operator="between" prompt="Pick one of: OBSERVED FROM RESEARCH, PROPOSED, DECISION REQUIRED, USER REQUIREMENT" promptTitle="Source" showDropDown="false" showErrorMessage="false" showInputMessage="true" sqref="P10:P222" type="list">
      <formula1>"OBSERVED FROM RESEARCH,PROPOSED,DECISION REQUIRED,USER REQUIREMENT"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7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9" t="s">
        <v>1850</v>
      </c>
      <c r="B1" s="19"/>
      <c r="C1" s="19"/>
      <c r="D1" s="19"/>
      <c r="E1" s="19"/>
      <c r="F1" s="19"/>
      <c r="G1" s="19"/>
      <c r="H1" s="19"/>
    </row>
    <row r="2" customFormat="false" ht="27.75" hidden="false" customHeight="true" outlineLevel="0" collapsed="false">
      <c r="A2" s="11" t="s">
        <v>1851</v>
      </c>
      <c r="B2" s="11"/>
      <c r="C2" s="11"/>
      <c r="D2" s="11"/>
      <c r="E2" s="11"/>
      <c r="F2" s="11"/>
      <c r="G2" s="11"/>
      <c r="H2" s="11"/>
    </row>
    <row r="4" customFormat="false" ht="33.75" hidden="false" customHeight="true" outlineLevel="0" collapsed="false">
      <c r="A4" s="16" t="s">
        <v>114</v>
      </c>
      <c r="B4" s="16" t="s">
        <v>1852</v>
      </c>
      <c r="C4" s="16" t="s">
        <v>1853</v>
      </c>
      <c r="D4" s="16" t="s">
        <v>1854</v>
      </c>
      <c r="E4" s="16" t="s">
        <v>1855</v>
      </c>
      <c r="F4" s="16" t="s">
        <v>1856</v>
      </c>
      <c r="G4" s="16" t="s">
        <v>122</v>
      </c>
      <c r="H4" s="16" t="s">
        <v>1857</v>
      </c>
    </row>
    <row r="5" customFormat="false" ht="23.85" hidden="false" customHeight="false" outlineLevel="0" collapsed="false">
      <c r="A5" s="17" t="n">
        <v>0</v>
      </c>
      <c r="B5" s="17" t="s">
        <v>129</v>
      </c>
      <c r="C5" s="17" t="s">
        <v>1858</v>
      </c>
      <c r="D5" s="17" t="s">
        <v>1859</v>
      </c>
      <c r="E5" s="17" t="s">
        <v>135</v>
      </c>
      <c r="F5" s="17" t="s">
        <v>1860</v>
      </c>
      <c r="G5" s="20" t="str">
        <f aca="false">IF($H5&gt;=1,"DONE",IF($H5&gt;0,"IN PROGRESS","NOT STARTED"))</f>
        <v>IN PROGRESS</v>
      </c>
      <c r="H5" s="21" t="n">
        <f aca="false">IFERROR(COUNTIFS('MASTER ROADMAP'!$B$10:$B$222,$A5,'MASTER ROADMAP'!$J$10:$J$222,"DONE")/COUNTIFS('MASTER ROADMAP'!$B$10:$B$222,$A5),0)</f>
        <v>0.25</v>
      </c>
    </row>
    <row r="6" customFormat="false" ht="15" hidden="false" customHeight="false" outlineLevel="0" collapsed="false">
      <c r="A6" s="18" t="n">
        <v>1</v>
      </c>
      <c r="B6" s="18" t="s">
        <v>201</v>
      </c>
      <c r="C6" s="18" t="s">
        <v>1861</v>
      </c>
      <c r="D6" s="18" t="s">
        <v>1862</v>
      </c>
      <c r="E6" s="18" t="s">
        <v>1863</v>
      </c>
      <c r="F6" s="18" t="s">
        <v>1864</v>
      </c>
      <c r="G6" s="22" t="str">
        <f aca="false">IF($H6&gt;=1,"DONE",IF($H6&gt;0,"IN PROGRESS","NOT STARTED"))</f>
        <v>NOT STARTED</v>
      </c>
      <c r="H6" s="23" t="n">
        <f aca="false">IFERROR(COUNTIFS('MASTER ROADMAP'!$B$10:$B$222,$A6,'MASTER ROADMAP'!$J$10:$J$222,"DONE")/COUNTIFS('MASTER ROADMAP'!$B$10:$B$222,$A6),0)</f>
        <v>0</v>
      </c>
    </row>
    <row r="7" customFormat="false" ht="15" hidden="false" customHeight="false" outlineLevel="0" collapsed="false">
      <c r="A7" s="17" t="n">
        <v>2</v>
      </c>
      <c r="B7" s="17" t="s">
        <v>277</v>
      </c>
      <c r="C7" s="17" t="s">
        <v>1865</v>
      </c>
      <c r="D7" s="17" t="s">
        <v>1866</v>
      </c>
      <c r="E7" s="17" t="s">
        <v>1867</v>
      </c>
      <c r="F7" s="17" t="s">
        <v>1864</v>
      </c>
      <c r="G7" s="20" t="str">
        <f aca="false">IF($H7&gt;=1,"DONE",IF($H7&gt;0,"IN PROGRESS","NOT STARTED"))</f>
        <v>NOT STARTED</v>
      </c>
      <c r="H7" s="21" t="n">
        <f aca="false">IFERROR(COUNTIFS('MASTER ROADMAP'!$B$10:$B$222,$A7,'MASTER ROADMAP'!$J$10:$J$222,"DONE")/COUNTIFS('MASTER ROADMAP'!$B$10:$B$222,$A7),0)</f>
        <v>0</v>
      </c>
    </row>
    <row r="8" customFormat="false" ht="15" hidden="false" customHeight="false" outlineLevel="0" collapsed="false">
      <c r="A8" s="18" t="n">
        <v>3</v>
      </c>
      <c r="B8" s="18" t="s">
        <v>357</v>
      </c>
      <c r="C8" s="18" t="s">
        <v>1868</v>
      </c>
      <c r="D8" s="18" t="s">
        <v>1869</v>
      </c>
      <c r="E8" s="18" t="s">
        <v>1867</v>
      </c>
      <c r="F8" s="18" t="s">
        <v>1870</v>
      </c>
      <c r="G8" s="22" t="str">
        <f aca="false">IF($H8&gt;=1,"DONE",IF($H8&gt;0,"IN PROGRESS","NOT STARTED"))</f>
        <v>NOT STARTED</v>
      </c>
      <c r="H8" s="23" t="n">
        <f aca="false">IFERROR(COUNTIFS('MASTER ROADMAP'!$B$10:$B$222,$A8,'MASTER ROADMAP'!$J$10:$J$222,"DONE")/COUNTIFS('MASTER ROADMAP'!$B$10:$B$222,$A8),0)</f>
        <v>0</v>
      </c>
    </row>
    <row r="9" customFormat="false" ht="15" hidden="false" customHeight="false" outlineLevel="0" collapsed="false">
      <c r="A9" s="17" t="n">
        <v>4</v>
      </c>
      <c r="B9" s="17" t="s">
        <v>448</v>
      </c>
      <c r="C9" s="17" t="s">
        <v>1871</v>
      </c>
      <c r="D9" s="17" t="s">
        <v>1872</v>
      </c>
      <c r="E9" s="17" t="s">
        <v>1873</v>
      </c>
      <c r="F9" s="17" t="s">
        <v>1860</v>
      </c>
      <c r="G9" s="20" t="str">
        <f aca="false">IF($H9&gt;=1,"DONE",IF($H9&gt;0,"IN PROGRESS","NOT STARTED"))</f>
        <v>NOT STARTED</v>
      </c>
      <c r="H9" s="21" t="n">
        <f aca="false">IFERROR(COUNTIFS('MASTER ROADMAP'!$B$10:$B$222,$A9,'MASTER ROADMAP'!$J$10:$J$222,"DONE")/COUNTIFS('MASTER ROADMAP'!$B$10:$B$222,$A9),0)</f>
        <v>0</v>
      </c>
    </row>
    <row r="10" customFormat="false" ht="15" hidden="false" customHeight="false" outlineLevel="0" collapsed="false">
      <c r="A10" s="18" t="n">
        <v>5</v>
      </c>
      <c r="B10" s="18" t="s">
        <v>533</v>
      </c>
      <c r="C10" s="18" t="s">
        <v>1874</v>
      </c>
      <c r="D10" s="18" t="s">
        <v>1875</v>
      </c>
      <c r="E10" s="18" t="s">
        <v>1876</v>
      </c>
      <c r="F10" s="18" t="s">
        <v>1877</v>
      </c>
      <c r="G10" s="22" t="str">
        <f aca="false">IF($H10&gt;=1,"DONE",IF($H10&gt;0,"IN PROGRESS","NOT STARTED"))</f>
        <v>NOT STARTED</v>
      </c>
      <c r="H10" s="23" t="n">
        <f aca="false">IFERROR(COUNTIFS('MASTER ROADMAP'!$B$10:$B$222,$A10,'MASTER ROADMAP'!$J$10:$J$222,"DONE")/COUNTIFS('MASTER ROADMAP'!$B$10:$B$222,$A10),0)</f>
        <v>0</v>
      </c>
    </row>
    <row r="11" customFormat="false" ht="15" hidden="false" customHeight="false" outlineLevel="0" collapsed="false">
      <c r="A11" s="17" t="n">
        <v>6</v>
      </c>
      <c r="B11" s="17" t="s">
        <v>607</v>
      </c>
      <c r="C11" s="17" t="s">
        <v>1878</v>
      </c>
      <c r="D11" s="17" t="s">
        <v>1879</v>
      </c>
      <c r="E11" s="17" t="s">
        <v>1876</v>
      </c>
      <c r="F11" s="17" t="s">
        <v>1860</v>
      </c>
      <c r="G11" s="20" t="str">
        <f aca="false">IF($H11&gt;=1,"DONE",IF($H11&gt;0,"IN PROGRESS","NOT STARTED"))</f>
        <v>NOT STARTED</v>
      </c>
      <c r="H11" s="21" t="n">
        <f aca="false">IFERROR(COUNTIFS('MASTER ROADMAP'!$B$10:$B$222,$A11,'MASTER ROADMAP'!$J$10:$J$222,"DONE")/COUNTIFS('MASTER ROADMAP'!$B$10:$B$222,$A11),0)</f>
        <v>0</v>
      </c>
    </row>
    <row r="12" customFormat="false" ht="15" hidden="false" customHeight="false" outlineLevel="0" collapsed="false">
      <c r="A12" s="18" t="n">
        <v>7</v>
      </c>
      <c r="B12" s="18" t="s">
        <v>682</v>
      </c>
      <c r="C12" s="18" t="s">
        <v>1880</v>
      </c>
      <c r="D12" s="18" t="s">
        <v>1881</v>
      </c>
      <c r="E12" s="18" t="s">
        <v>1882</v>
      </c>
      <c r="F12" s="18" t="s">
        <v>1870</v>
      </c>
      <c r="G12" s="22" t="str">
        <f aca="false">IF($H12&gt;=1,"DONE",IF($H12&gt;0,"IN PROGRESS","NOT STARTED"))</f>
        <v>NOT STARTED</v>
      </c>
      <c r="H12" s="23" t="n">
        <f aca="false">IFERROR(COUNTIFS('MASTER ROADMAP'!$B$10:$B$222,$A12,'MASTER ROADMAP'!$J$10:$J$222,"DONE")/COUNTIFS('MASTER ROADMAP'!$B$10:$B$222,$A12),0)</f>
        <v>0</v>
      </c>
    </row>
    <row r="13" customFormat="false" ht="15" hidden="false" customHeight="false" outlineLevel="0" collapsed="false">
      <c r="A13" s="17" t="n">
        <v>8</v>
      </c>
      <c r="B13" s="17" t="s">
        <v>790</v>
      </c>
      <c r="C13" s="17" t="s">
        <v>1883</v>
      </c>
      <c r="D13" s="17" t="s">
        <v>1884</v>
      </c>
      <c r="E13" s="17" t="s">
        <v>1885</v>
      </c>
      <c r="F13" s="17" t="s">
        <v>1870</v>
      </c>
      <c r="G13" s="20" t="str">
        <f aca="false">IF($H13&gt;=1,"DONE",IF($H13&gt;0,"IN PROGRESS","NOT STARTED"))</f>
        <v>NOT STARTED</v>
      </c>
      <c r="H13" s="21" t="n">
        <f aca="false">IFERROR(COUNTIFS('MASTER ROADMAP'!$B$10:$B$222,$A13,'MASTER ROADMAP'!$J$10:$J$222,"DONE")/COUNTIFS('MASTER ROADMAP'!$B$10:$B$222,$A13),0)</f>
        <v>0</v>
      </c>
    </row>
    <row r="14" customFormat="false" ht="15" hidden="false" customHeight="false" outlineLevel="0" collapsed="false">
      <c r="A14" s="18" t="n">
        <v>9</v>
      </c>
      <c r="B14" s="18" t="s">
        <v>892</v>
      </c>
      <c r="C14" s="18" t="s">
        <v>1886</v>
      </c>
      <c r="D14" s="18" t="s">
        <v>1887</v>
      </c>
      <c r="E14" s="18" t="s">
        <v>1888</v>
      </c>
      <c r="F14" s="18" t="s">
        <v>1860</v>
      </c>
      <c r="G14" s="22" t="str">
        <f aca="false">IF($H14&gt;=1,"DONE",IF($H14&gt;0,"IN PROGRESS","NOT STARTED"))</f>
        <v>NOT STARTED</v>
      </c>
      <c r="H14" s="23" t="n">
        <f aca="false">IFERROR(COUNTIFS('MASTER ROADMAP'!$B$10:$B$222,$A14,'MASTER ROADMAP'!$J$10:$J$222,"DONE")/COUNTIFS('MASTER ROADMAP'!$B$10:$B$222,$A14),0)</f>
        <v>0</v>
      </c>
    </row>
    <row r="15" customFormat="false" ht="15" hidden="false" customHeight="false" outlineLevel="0" collapsed="false">
      <c r="A15" s="17" t="n">
        <v>10</v>
      </c>
      <c r="B15" s="17" t="s">
        <v>978</v>
      </c>
      <c r="C15" s="17" t="s">
        <v>1889</v>
      </c>
      <c r="D15" s="17" t="s">
        <v>1890</v>
      </c>
      <c r="E15" s="17" t="s">
        <v>1891</v>
      </c>
      <c r="F15" s="17" t="s">
        <v>1860</v>
      </c>
      <c r="G15" s="20" t="str">
        <f aca="false">IF($H15&gt;=1,"DONE",IF($H15&gt;0,"IN PROGRESS","NOT STARTED"))</f>
        <v>NOT STARTED</v>
      </c>
      <c r="H15" s="21" t="n">
        <f aca="false">IFERROR(COUNTIFS('MASTER ROADMAP'!$B$10:$B$222,$A15,'MASTER ROADMAP'!$J$10:$J$222,"DONE")/COUNTIFS('MASTER ROADMAP'!$B$10:$B$222,$A15),0)</f>
        <v>0</v>
      </c>
    </row>
    <row r="16" customFormat="false" ht="15" hidden="false" customHeight="false" outlineLevel="0" collapsed="false">
      <c r="A16" s="18" t="n">
        <v>11</v>
      </c>
      <c r="B16" s="18" t="s">
        <v>1060</v>
      </c>
      <c r="C16" s="18" t="s">
        <v>1892</v>
      </c>
      <c r="D16" s="18" t="s">
        <v>1893</v>
      </c>
      <c r="E16" s="18" t="s">
        <v>1894</v>
      </c>
      <c r="F16" s="18" t="s">
        <v>1864</v>
      </c>
      <c r="G16" s="22" t="str">
        <f aca="false">IF($H16&gt;=1,"DONE",IF($H16&gt;0,"IN PROGRESS","NOT STARTED"))</f>
        <v>NOT STARTED</v>
      </c>
      <c r="H16" s="23" t="n">
        <f aca="false">IFERROR(COUNTIFS('MASTER ROADMAP'!$B$10:$B$222,$A16,'MASTER ROADMAP'!$J$10:$J$222,"DONE")/COUNTIFS('MASTER ROADMAP'!$B$10:$B$222,$A16),0)</f>
        <v>0</v>
      </c>
    </row>
    <row r="17" customFormat="false" ht="15" hidden="false" customHeight="false" outlineLevel="0" collapsed="false">
      <c r="A17" s="17" t="n">
        <v>12</v>
      </c>
      <c r="B17" s="17" t="s">
        <v>1102</v>
      </c>
      <c r="C17" s="17" t="s">
        <v>1895</v>
      </c>
      <c r="D17" s="17" t="s">
        <v>1896</v>
      </c>
      <c r="E17" s="17" t="s">
        <v>1897</v>
      </c>
      <c r="F17" s="17" t="s">
        <v>1877</v>
      </c>
      <c r="G17" s="20" t="str">
        <f aca="false">IF($H17&gt;=1,"DONE",IF($H17&gt;0,"IN PROGRESS","NOT STARTED"))</f>
        <v>NOT STARTED</v>
      </c>
      <c r="H17" s="21" t="n">
        <f aca="false">IFERROR(COUNTIFS('MASTER ROADMAP'!$B$10:$B$222,$A17,'MASTER ROADMAP'!$J$10:$J$222,"DONE")/COUNTIFS('MASTER ROADMAP'!$B$10:$B$222,$A17),0)</f>
        <v>0</v>
      </c>
    </row>
    <row r="18" customFormat="false" ht="15" hidden="false" customHeight="false" outlineLevel="0" collapsed="false">
      <c r="A18" s="18" t="n">
        <v>13</v>
      </c>
      <c r="B18" s="18" t="s">
        <v>1146</v>
      </c>
      <c r="C18" s="18" t="s">
        <v>1898</v>
      </c>
      <c r="D18" s="18" t="s">
        <v>1899</v>
      </c>
      <c r="E18" s="18" t="s">
        <v>1900</v>
      </c>
      <c r="F18" s="18" t="s">
        <v>1860</v>
      </c>
      <c r="G18" s="22" t="str">
        <f aca="false">IF($H18&gt;=1,"DONE",IF($H18&gt;0,"IN PROGRESS","NOT STARTED"))</f>
        <v>NOT STARTED</v>
      </c>
      <c r="H18" s="23" t="n">
        <f aca="false">IFERROR(COUNTIFS('MASTER ROADMAP'!$B$10:$B$222,$A18,'MASTER ROADMAP'!$J$10:$J$222,"DONE")/COUNTIFS('MASTER ROADMAP'!$B$10:$B$222,$A18),0)</f>
        <v>0</v>
      </c>
    </row>
    <row r="19" customFormat="false" ht="15" hidden="false" customHeight="false" outlineLevel="0" collapsed="false">
      <c r="A19" s="17" t="n">
        <v>14</v>
      </c>
      <c r="B19" s="17" t="s">
        <v>1211</v>
      </c>
      <c r="C19" s="17" t="s">
        <v>1901</v>
      </c>
      <c r="D19" s="17" t="s">
        <v>1902</v>
      </c>
      <c r="E19" s="17" t="s">
        <v>1903</v>
      </c>
      <c r="F19" s="17" t="s">
        <v>1904</v>
      </c>
      <c r="G19" s="20" t="str">
        <f aca="false">IF($H19&gt;=1,"DONE",IF($H19&gt;0,"IN PROGRESS","NOT STARTED"))</f>
        <v>NOT STARTED</v>
      </c>
      <c r="H19" s="21" t="n">
        <f aca="false">IFERROR(COUNTIFS('MASTER ROADMAP'!$B$10:$B$222,$A19,'MASTER ROADMAP'!$J$10:$J$222,"DONE")/COUNTIFS('MASTER ROADMAP'!$B$10:$B$222,$A19),0)</f>
        <v>0</v>
      </c>
    </row>
    <row r="20" customFormat="false" ht="15" hidden="false" customHeight="false" outlineLevel="0" collapsed="false">
      <c r="A20" s="18" t="n">
        <v>15</v>
      </c>
      <c r="B20" s="18" t="s">
        <v>1319</v>
      </c>
      <c r="C20" s="18" t="s">
        <v>1905</v>
      </c>
      <c r="D20" s="18" t="s">
        <v>1906</v>
      </c>
      <c r="E20" s="18" t="s">
        <v>1907</v>
      </c>
      <c r="F20" s="18" t="s">
        <v>1864</v>
      </c>
      <c r="G20" s="22" t="str">
        <f aca="false">IF($H20&gt;=1,"DONE",IF($H20&gt;0,"IN PROGRESS","NOT STARTED"))</f>
        <v>NOT STARTED</v>
      </c>
      <c r="H20" s="23" t="n">
        <f aca="false">IFERROR(COUNTIFS('MASTER ROADMAP'!$B$10:$B$222,$A20,'MASTER ROADMAP'!$J$10:$J$222,"DONE")/COUNTIFS('MASTER ROADMAP'!$B$10:$B$222,$A20),0)</f>
        <v>0</v>
      </c>
    </row>
    <row r="21" customFormat="false" ht="15" hidden="false" customHeight="false" outlineLevel="0" collapsed="false">
      <c r="A21" s="17" t="n">
        <v>16</v>
      </c>
      <c r="B21" s="17" t="s">
        <v>1369</v>
      </c>
      <c r="C21" s="17" t="s">
        <v>1908</v>
      </c>
      <c r="D21" s="17" t="s">
        <v>1909</v>
      </c>
      <c r="E21" s="17" t="s">
        <v>1903</v>
      </c>
      <c r="F21" s="17" t="s">
        <v>1877</v>
      </c>
      <c r="G21" s="20" t="str">
        <f aca="false">IF($H21&gt;=1,"DONE",IF($H21&gt;0,"IN PROGRESS","NOT STARTED"))</f>
        <v>NOT STARTED</v>
      </c>
      <c r="H21" s="21" t="n">
        <f aca="false">IFERROR(COUNTIFS('MASTER ROADMAP'!$B$10:$B$222,$A21,'MASTER ROADMAP'!$J$10:$J$222,"DONE")/COUNTIFS('MASTER ROADMAP'!$B$10:$B$222,$A21),0)</f>
        <v>0</v>
      </c>
    </row>
    <row r="22" customFormat="false" ht="15" hidden="false" customHeight="false" outlineLevel="0" collapsed="false">
      <c r="A22" s="18" t="n">
        <v>17</v>
      </c>
      <c r="B22" s="18" t="s">
        <v>1423</v>
      </c>
      <c r="C22" s="18" t="s">
        <v>1910</v>
      </c>
      <c r="D22" s="18" t="s">
        <v>1911</v>
      </c>
      <c r="E22" s="18" t="s">
        <v>1912</v>
      </c>
      <c r="F22" s="18" t="s">
        <v>1877</v>
      </c>
      <c r="G22" s="22" t="str">
        <f aca="false">IF($H22&gt;=1,"DONE",IF($H22&gt;0,"IN PROGRESS","NOT STARTED"))</f>
        <v>NOT STARTED</v>
      </c>
      <c r="H22" s="23" t="n">
        <f aca="false">IFERROR(COUNTIFS('MASTER ROADMAP'!$B$10:$B$222,$A22,'MASTER ROADMAP'!$J$10:$J$222,"DONE")/COUNTIFS('MASTER ROADMAP'!$B$10:$B$222,$A22),0)</f>
        <v>0</v>
      </c>
    </row>
    <row r="23" customFormat="false" ht="15" hidden="false" customHeight="false" outlineLevel="0" collapsed="false">
      <c r="A23" s="17" t="n">
        <v>18</v>
      </c>
      <c r="B23" s="17" t="s">
        <v>1500</v>
      </c>
      <c r="C23" s="17" t="s">
        <v>1913</v>
      </c>
      <c r="D23" s="17" t="s">
        <v>1914</v>
      </c>
      <c r="E23" s="17" t="s">
        <v>1915</v>
      </c>
      <c r="F23" s="17" t="s">
        <v>1916</v>
      </c>
      <c r="G23" s="20" t="str">
        <f aca="false">IF($H23&gt;=1,"DONE",IF($H23&gt;0,"IN PROGRESS","NOT STARTED"))</f>
        <v>NOT STARTED</v>
      </c>
      <c r="H23" s="21" t="n">
        <f aca="false">IFERROR(COUNTIFS('MASTER ROADMAP'!$B$10:$B$222,$A23,'MASTER ROADMAP'!$J$10:$J$222,"DONE")/COUNTIFS('MASTER ROADMAP'!$B$10:$B$222,$A23),0)</f>
        <v>0</v>
      </c>
    </row>
    <row r="24" customFormat="false" ht="15" hidden="false" customHeight="false" outlineLevel="0" collapsed="false">
      <c r="A24" s="18" t="n">
        <v>19</v>
      </c>
      <c r="B24" s="18" t="s">
        <v>1577</v>
      </c>
      <c r="C24" s="18" t="s">
        <v>1917</v>
      </c>
      <c r="D24" s="18" t="s">
        <v>1918</v>
      </c>
      <c r="E24" s="18" t="s">
        <v>1876</v>
      </c>
      <c r="F24" s="18" t="s">
        <v>1877</v>
      </c>
      <c r="G24" s="22" t="str">
        <f aca="false">IF($H24&gt;=1,"DONE",IF($H24&gt;0,"IN PROGRESS","NOT STARTED"))</f>
        <v>NOT STARTED</v>
      </c>
      <c r="H24" s="23" t="n">
        <f aca="false">IFERROR(COUNTIFS('MASTER ROADMAP'!$B$10:$B$222,$A24,'MASTER ROADMAP'!$J$10:$J$222,"DONE")/COUNTIFS('MASTER ROADMAP'!$B$10:$B$222,$A24),0)</f>
        <v>0</v>
      </c>
    </row>
    <row r="25" customFormat="false" ht="15" hidden="false" customHeight="false" outlineLevel="0" collapsed="false">
      <c r="A25" s="17" t="n">
        <v>20</v>
      </c>
      <c r="B25" s="17" t="s">
        <v>1661</v>
      </c>
      <c r="C25" s="17" t="s">
        <v>1919</v>
      </c>
      <c r="D25" s="17" t="s">
        <v>1920</v>
      </c>
      <c r="E25" s="17" t="s">
        <v>1921</v>
      </c>
      <c r="F25" s="17" t="s">
        <v>1922</v>
      </c>
      <c r="G25" s="20" t="str">
        <f aca="false">IF($H25&gt;=1,"DONE",IF($H25&gt;0,"IN PROGRESS","NOT STARTED"))</f>
        <v>NOT STARTED</v>
      </c>
      <c r="H25" s="21" t="n">
        <f aca="false">IFERROR(COUNTIFS('MASTER ROADMAP'!$B$10:$B$222,$A25,'MASTER ROADMAP'!$J$10:$J$222,"DONE")/COUNTIFS('MASTER ROADMAP'!$B$10:$B$222,$A25),0)</f>
        <v>0</v>
      </c>
    </row>
    <row r="26" customFormat="false" ht="15" hidden="false" customHeight="false" outlineLevel="0" collapsed="false">
      <c r="A26" s="18" t="n">
        <v>21</v>
      </c>
      <c r="B26" s="18" t="s">
        <v>1717</v>
      </c>
      <c r="C26" s="18" t="s">
        <v>1923</v>
      </c>
      <c r="D26" s="18" t="s">
        <v>1924</v>
      </c>
      <c r="E26" s="18" t="s">
        <v>1925</v>
      </c>
      <c r="F26" s="18" t="s">
        <v>1926</v>
      </c>
      <c r="G26" s="22" t="str">
        <f aca="false">IF($H26&gt;=1,"DONE",IF($H26&gt;0,"IN PROGRESS","NOT STARTED"))</f>
        <v>NOT STARTED</v>
      </c>
      <c r="H26" s="23" t="n">
        <f aca="false">IFERROR(COUNTIFS('MASTER ROADMAP'!$B$10:$B$222,$A26,'MASTER ROADMAP'!$J$10:$J$222,"DONE")/COUNTIFS('MASTER ROADMAP'!$B$10:$B$222,$A26),0)</f>
        <v>0</v>
      </c>
    </row>
    <row r="27" customFormat="false" ht="15" hidden="false" customHeight="false" outlineLevel="0" collapsed="false">
      <c r="A27" s="17" t="n">
        <v>22</v>
      </c>
      <c r="B27" s="17" t="s">
        <v>1764</v>
      </c>
      <c r="C27" s="17" t="s">
        <v>1927</v>
      </c>
      <c r="D27" s="17" t="s">
        <v>1928</v>
      </c>
      <c r="E27" s="17" t="s">
        <v>1929</v>
      </c>
      <c r="F27" s="17" t="s">
        <v>1930</v>
      </c>
      <c r="G27" s="20" t="str">
        <f aca="false">IF($H27&gt;=1,"DONE",IF($H27&gt;0,"IN PROGRESS","NOT STARTED"))</f>
        <v>NOT STARTED</v>
      </c>
      <c r="H27" s="21" t="n">
        <f aca="false">IFERROR(COUNTIFS('MASTER ROADMAP'!$B$10:$B$222,$A27,'MASTER ROADMAP'!$J$10:$J$222,"DONE")/COUNTIFS('MASTER ROADMAP'!$B$10:$B$222,$A27),0)</f>
        <v>0</v>
      </c>
    </row>
    <row r="28" customFormat="false" ht="15" hidden="false" customHeight="false" outlineLevel="0" collapsed="false">
      <c r="A28" s="18" t="n">
        <v>23</v>
      </c>
      <c r="B28" s="18" t="s">
        <v>1803</v>
      </c>
      <c r="C28" s="18" t="s">
        <v>1931</v>
      </c>
      <c r="D28" s="18" t="s">
        <v>1932</v>
      </c>
      <c r="E28" s="18" t="s">
        <v>1933</v>
      </c>
      <c r="F28" s="18" t="s">
        <v>1934</v>
      </c>
      <c r="G28" s="22" t="str">
        <f aca="false">IF($H28&gt;=1,"DONE",IF($H28&gt;0,"IN PROGRESS","NOT STARTED"))</f>
        <v>NOT STARTED</v>
      </c>
      <c r="H28" s="23" t="n">
        <f aca="false">IFERROR(COUNTIFS('MASTER ROADMAP'!$B$10:$B$222,$A28,'MASTER ROADMAP'!$J$10:$J$222,"DONE")/COUNTIFS('MASTER ROADMAP'!$B$10:$B$222,$A28),0)</f>
        <v>0</v>
      </c>
    </row>
  </sheetData>
  <autoFilter ref="A4:H28"/>
  <mergeCells count="2">
    <mergeCell ref="A1:H1"/>
    <mergeCell ref="A2:H2"/>
  </mergeCells>
  <conditionalFormatting sqref="G5:G28">
    <cfRule type="expression" priority="2" aboveAverage="0" equalAverage="0" bottom="0" percent="0" rank="0" text="" dxfId="16">
      <formula>EXACT($G5,"NOT STARTED")</formula>
    </cfRule>
    <cfRule type="expression" priority="3" aboveAverage="0" equalAverage="0" bottom="0" percent="0" rank="0" text="" dxfId="17">
      <formula>EXACT($G5,"IN PROGRESS")</formula>
    </cfRule>
    <cfRule type="expression" priority="4" aboveAverage="0" equalAverage="0" bottom="0" percent="0" rank="0" text="" dxfId="18">
      <formula>EXACT($G5,"BLOCKED")</formula>
    </cfRule>
    <cfRule type="expression" priority="5" aboveAverage="0" equalAverage="0" bottom="0" percent="0" rank="0" text="" dxfId="19">
      <formula>EXACT($G5,"REVIEW")</formula>
    </cfRule>
    <cfRule type="expression" priority="6" aboveAverage="0" equalAverage="0" bottom="0" percent="0" rank="0" text="" dxfId="20">
      <formula>EXACT($G5,"DONE")</formula>
    </cfRule>
    <cfRule type="expression" priority="7" aboveAverage="0" equalAverage="0" bottom="0" percent="0" rank="0" text="" dxfId="21">
      <formula>EXACT($G5,"DEFERRED")</formula>
    </cfRule>
  </conditionalFormatting>
  <conditionalFormatting sqref="H5:H28">
    <cfRule type="dataBar" priority="8">
      <dataBar showValue="1" minLength="10" maxLength="90">
        <cfvo type="num" val="0"/>
        <cfvo type="num" val="1"/>
        <color rgb="FF548235"/>
      </dataBar>
      <extLst>
        <ext xmlns:x14="http://schemas.microsoft.com/office/spreadsheetml/2009/9/main" uri="{B025F937-C7B1-47D3-B67F-A62EFF666E3E}">
          <x14:id>{D9C11A84-5CBA-4CA0-B213-4D94A379CD7C}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C11A84-5CBA-4CA0-B213-4D94A379CD7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48235"/>
              <x14:axisColor rgb="FF000000"/>
            </x14:dataBar>
          </x14:cfRule>
          <xm:sqref>H5:H28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4" min="3" style="0" width="11"/>
    <col collapsed="false" customWidth="true" hidden="false" outlineLevel="0" max="5" min="5" style="0" width="7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9" t="s">
        <v>1935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1936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1937</v>
      </c>
      <c r="B4" s="16" t="s">
        <v>1938</v>
      </c>
      <c r="C4" s="16" t="s">
        <v>1939</v>
      </c>
      <c r="D4" s="16" t="s">
        <v>121</v>
      </c>
      <c r="E4" s="16" t="s">
        <v>1940</v>
      </c>
      <c r="F4" s="16" t="s">
        <v>1855</v>
      </c>
      <c r="G4" s="16" t="s">
        <v>122</v>
      </c>
      <c r="H4" s="16" t="s">
        <v>1941</v>
      </c>
      <c r="I4" s="16" t="s">
        <v>128</v>
      </c>
    </row>
    <row r="5" customFormat="false" ht="23.85" hidden="false" customHeight="false" outlineLevel="0" collapsed="false">
      <c r="A5" s="17" t="s">
        <v>1942</v>
      </c>
      <c r="B5" s="17" t="s">
        <v>1943</v>
      </c>
      <c r="C5" s="17" t="s">
        <v>1944</v>
      </c>
      <c r="D5" s="17" t="s">
        <v>136</v>
      </c>
      <c r="E5" s="17" t="s">
        <v>1945</v>
      </c>
      <c r="F5" s="17" t="s">
        <v>1946</v>
      </c>
      <c r="G5" s="17" t="s">
        <v>103</v>
      </c>
      <c r="H5" s="17" t="s">
        <v>1947</v>
      </c>
      <c r="I5" s="17" t="s">
        <v>14</v>
      </c>
    </row>
    <row r="6" customFormat="false" ht="23.85" hidden="false" customHeight="false" outlineLevel="0" collapsed="false">
      <c r="A6" s="18" t="s">
        <v>1948</v>
      </c>
      <c r="B6" s="18" t="s">
        <v>1943</v>
      </c>
      <c r="C6" s="18" t="s">
        <v>1944</v>
      </c>
      <c r="D6" s="18" t="s">
        <v>136</v>
      </c>
      <c r="E6" s="18" t="s">
        <v>1949</v>
      </c>
      <c r="F6" s="18" t="s">
        <v>1950</v>
      </c>
      <c r="G6" s="18" t="s">
        <v>103</v>
      </c>
      <c r="H6" s="18" t="s">
        <v>1947</v>
      </c>
      <c r="I6" s="18" t="s">
        <v>14</v>
      </c>
    </row>
    <row r="7" customFormat="false" ht="23.85" hidden="false" customHeight="false" outlineLevel="0" collapsed="false">
      <c r="A7" s="17" t="s">
        <v>1951</v>
      </c>
      <c r="B7" s="17" t="s">
        <v>1943</v>
      </c>
      <c r="C7" s="17" t="s">
        <v>1944</v>
      </c>
      <c r="D7" s="17" t="s">
        <v>136</v>
      </c>
      <c r="E7" s="17" t="s">
        <v>1952</v>
      </c>
      <c r="F7" s="17" t="s">
        <v>1953</v>
      </c>
      <c r="G7" s="17" t="s">
        <v>103</v>
      </c>
      <c r="H7" s="17" t="s">
        <v>1947</v>
      </c>
      <c r="I7" s="17" t="s">
        <v>14</v>
      </c>
    </row>
    <row r="8" customFormat="false" ht="23.85" hidden="false" customHeight="false" outlineLevel="0" collapsed="false">
      <c r="A8" s="18" t="s">
        <v>1954</v>
      </c>
      <c r="B8" s="18" t="s">
        <v>1943</v>
      </c>
      <c r="C8" s="18" t="s">
        <v>1944</v>
      </c>
      <c r="D8" s="18" t="s">
        <v>136</v>
      </c>
      <c r="E8" s="18" t="s">
        <v>812</v>
      </c>
      <c r="F8" s="18" t="s">
        <v>1953</v>
      </c>
      <c r="G8" s="18" t="s">
        <v>103</v>
      </c>
      <c r="H8" s="18" t="s">
        <v>1947</v>
      </c>
      <c r="I8" s="18" t="s">
        <v>14</v>
      </c>
    </row>
    <row r="9" customFormat="false" ht="23.85" hidden="false" customHeight="false" outlineLevel="0" collapsed="false">
      <c r="A9" s="17" t="s">
        <v>1955</v>
      </c>
      <c r="B9" s="17" t="s">
        <v>1943</v>
      </c>
      <c r="C9" s="17" t="s">
        <v>1944</v>
      </c>
      <c r="D9" s="17" t="s">
        <v>136</v>
      </c>
      <c r="E9" s="17" t="s">
        <v>1956</v>
      </c>
      <c r="F9" s="17" t="s">
        <v>1953</v>
      </c>
      <c r="G9" s="17" t="s">
        <v>103</v>
      </c>
      <c r="H9" s="17" t="s">
        <v>1947</v>
      </c>
      <c r="I9" s="17" t="s">
        <v>14</v>
      </c>
    </row>
    <row r="10" customFormat="false" ht="23.85" hidden="false" customHeight="false" outlineLevel="0" collapsed="false">
      <c r="A10" s="18" t="s">
        <v>1957</v>
      </c>
      <c r="B10" s="18" t="s">
        <v>1958</v>
      </c>
      <c r="C10" s="18" t="s">
        <v>1944</v>
      </c>
      <c r="D10" s="18" t="s">
        <v>136</v>
      </c>
      <c r="E10" s="18" t="s">
        <v>1959</v>
      </c>
      <c r="F10" s="18" t="s">
        <v>1960</v>
      </c>
      <c r="G10" s="18" t="s">
        <v>103</v>
      </c>
      <c r="H10" s="18" t="s">
        <v>1947</v>
      </c>
      <c r="I10" s="18" t="s">
        <v>14</v>
      </c>
    </row>
    <row r="11" customFormat="false" ht="23.85" hidden="false" customHeight="false" outlineLevel="0" collapsed="false">
      <c r="A11" s="17" t="s">
        <v>1961</v>
      </c>
      <c r="B11" s="17" t="s">
        <v>1962</v>
      </c>
      <c r="C11" s="17" t="s">
        <v>1944</v>
      </c>
      <c r="D11" s="17" t="s">
        <v>136</v>
      </c>
      <c r="E11" s="17" t="s">
        <v>1963</v>
      </c>
      <c r="F11" s="17" t="s">
        <v>1964</v>
      </c>
      <c r="G11" s="17" t="s">
        <v>103</v>
      </c>
      <c r="H11" s="17" t="s">
        <v>1947</v>
      </c>
      <c r="I11" s="17" t="s">
        <v>14</v>
      </c>
    </row>
    <row r="12" customFormat="false" ht="23.85" hidden="false" customHeight="false" outlineLevel="0" collapsed="false">
      <c r="A12" s="18" t="s">
        <v>1965</v>
      </c>
      <c r="B12" s="18" t="s">
        <v>1958</v>
      </c>
      <c r="C12" s="18" t="s">
        <v>1944</v>
      </c>
      <c r="D12" s="18" t="s">
        <v>136</v>
      </c>
      <c r="E12" s="18" t="s">
        <v>1966</v>
      </c>
      <c r="F12" s="18" t="s">
        <v>1967</v>
      </c>
      <c r="G12" s="18" t="s">
        <v>103</v>
      </c>
      <c r="H12" s="18" t="s">
        <v>1947</v>
      </c>
      <c r="I12" s="18" t="s">
        <v>14</v>
      </c>
    </row>
    <row r="13" customFormat="false" ht="23.85" hidden="false" customHeight="false" outlineLevel="0" collapsed="false">
      <c r="A13" s="17" t="s">
        <v>903</v>
      </c>
      <c r="B13" s="17" t="s">
        <v>1958</v>
      </c>
      <c r="C13" s="17" t="s">
        <v>1944</v>
      </c>
      <c r="D13" s="17" t="s">
        <v>136</v>
      </c>
      <c r="E13" s="17" t="s">
        <v>906</v>
      </c>
      <c r="F13" s="17" t="s">
        <v>1967</v>
      </c>
      <c r="G13" s="17" t="s">
        <v>103</v>
      </c>
      <c r="H13" s="17" t="s">
        <v>1947</v>
      </c>
      <c r="I13" s="17" t="s">
        <v>14</v>
      </c>
    </row>
    <row r="14" customFormat="false" ht="23.85" hidden="false" customHeight="false" outlineLevel="0" collapsed="false">
      <c r="A14" s="18" t="s">
        <v>1968</v>
      </c>
      <c r="B14" s="18" t="s">
        <v>1958</v>
      </c>
      <c r="C14" s="18" t="s">
        <v>1944</v>
      </c>
      <c r="D14" s="18" t="s">
        <v>172</v>
      </c>
      <c r="E14" s="18" t="s">
        <v>1969</v>
      </c>
      <c r="F14" s="18" t="s">
        <v>1970</v>
      </c>
      <c r="G14" s="18" t="s">
        <v>103</v>
      </c>
      <c r="H14" s="18" t="s">
        <v>1947</v>
      </c>
      <c r="I14" s="18" t="s">
        <v>14</v>
      </c>
    </row>
    <row r="15" customFormat="false" ht="23.85" hidden="false" customHeight="false" outlineLevel="0" collapsed="false">
      <c r="A15" s="17" t="s">
        <v>961</v>
      </c>
      <c r="B15" s="17" t="s">
        <v>1971</v>
      </c>
      <c r="C15" s="17" t="s">
        <v>1944</v>
      </c>
      <c r="D15" s="17" t="s">
        <v>136</v>
      </c>
      <c r="E15" s="17" t="s">
        <v>1972</v>
      </c>
      <c r="F15" s="17" t="s">
        <v>1967</v>
      </c>
      <c r="G15" s="17" t="s">
        <v>103</v>
      </c>
      <c r="H15" s="17" t="s">
        <v>1947</v>
      </c>
      <c r="I15" s="17" t="s">
        <v>14</v>
      </c>
    </row>
    <row r="16" customFormat="false" ht="23.85" hidden="false" customHeight="false" outlineLevel="0" collapsed="false">
      <c r="A16" s="18" t="s">
        <v>988</v>
      </c>
      <c r="B16" s="18" t="s">
        <v>1973</v>
      </c>
      <c r="C16" s="18" t="s">
        <v>1944</v>
      </c>
      <c r="D16" s="18" t="s">
        <v>136</v>
      </c>
      <c r="E16" s="18" t="s">
        <v>1974</v>
      </c>
      <c r="F16" s="18" t="s">
        <v>1907</v>
      </c>
      <c r="G16" s="18" t="s">
        <v>103</v>
      </c>
      <c r="H16" s="18" t="s">
        <v>1947</v>
      </c>
      <c r="I16" s="18" t="s">
        <v>14</v>
      </c>
    </row>
    <row r="17" customFormat="false" ht="23.85" hidden="false" customHeight="false" outlineLevel="0" collapsed="false">
      <c r="A17" s="17" t="s">
        <v>996</v>
      </c>
      <c r="B17" s="17" t="s">
        <v>1973</v>
      </c>
      <c r="C17" s="17" t="s">
        <v>1944</v>
      </c>
      <c r="D17" s="17" t="s">
        <v>136</v>
      </c>
      <c r="E17" s="17" t="s">
        <v>1975</v>
      </c>
      <c r="F17" s="17" t="s">
        <v>1976</v>
      </c>
      <c r="G17" s="17" t="s">
        <v>103</v>
      </c>
      <c r="H17" s="17" t="s">
        <v>1947</v>
      </c>
      <c r="I17" s="17" t="s">
        <v>14</v>
      </c>
    </row>
    <row r="18" customFormat="false" ht="15" hidden="false" customHeight="false" outlineLevel="0" collapsed="false">
      <c r="A18" s="18" t="s">
        <v>952</v>
      </c>
      <c r="B18" s="18" t="s">
        <v>1971</v>
      </c>
      <c r="C18" s="18" t="s">
        <v>1944</v>
      </c>
      <c r="D18" s="18" t="s">
        <v>274</v>
      </c>
      <c r="E18" s="18" t="s">
        <v>1977</v>
      </c>
      <c r="F18" s="18" t="s">
        <v>1978</v>
      </c>
      <c r="G18" s="18" t="s">
        <v>103</v>
      </c>
      <c r="H18" s="18" t="s">
        <v>1979</v>
      </c>
      <c r="I18" s="18" t="s">
        <v>18</v>
      </c>
    </row>
    <row r="19" customFormat="false" ht="23.85" hidden="false" customHeight="false" outlineLevel="0" collapsed="false">
      <c r="A19" s="17" t="s">
        <v>1980</v>
      </c>
      <c r="B19" s="17" t="s">
        <v>1981</v>
      </c>
      <c r="C19" s="17" t="s">
        <v>1944</v>
      </c>
      <c r="D19" s="17" t="s">
        <v>136</v>
      </c>
      <c r="E19" s="17" t="s">
        <v>1982</v>
      </c>
      <c r="F19" s="17" t="s">
        <v>1960</v>
      </c>
      <c r="G19" s="17" t="s">
        <v>103</v>
      </c>
      <c r="H19" s="17" t="s">
        <v>1947</v>
      </c>
      <c r="I19" s="17" t="s">
        <v>14</v>
      </c>
    </row>
    <row r="20" customFormat="false" ht="23.85" hidden="false" customHeight="false" outlineLevel="0" collapsed="false">
      <c r="A20" s="18" t="s">
        <v>1983</v>
      </c>
      <c r="B20" s="18" t="s">
        <v>1984</v>
      </c>
      <c r="C20" s="18" t="s">
        <v>1944</v>
      </c>
      <c r="D20" s="18" t="s">
        <v>136</v>
      </c>
      <c r="E20" s="18" t="s">
        <v>1985</v>
      </c>
      <c r="F20" s="18" t="s">
        <v>1897</v>
      </c>
      <c r="G20" s="18" t="s">
        <v>103</v>
      </c>
      <c r="H20" s="18" t="s">
        <v>1947</v>
      </c>
      <c r="I20" s="18" t="s">
        <v>14</v>
      </c>
    </row>
    <row r="21" customFormat="false" ht="23.85" hidden="false" customHeight="false" outlineLevel="0" collapsed="false">
      <c r="A21" s="17" t="s">
        <v>1986</v>
      </c>
      <c r="B21" s="17" t="s">
        <v>1987</v>
      </c>
      <c r="C21" s="17" t="s">
        <v>1944</v>
      </c>
      <c r="D21" s="17" t="s">
        <v>136</v>
      </c>
      <c r="E21" s="17" t="s">
        <v>1988</v>
      </c>
      <c r="F21" s="17" t="s">
        <v>1989</v>
      </c>
      <c r="G21" s="17" t="s">
        <v>103</v>
      </c>
      <c r="H21" s="17" t="s">
        <v>1947</v>
      </c>
      <c r="I21" s="17" t="s">
        <v>14</v>
      </c>
    </row>
    <row r="22" customFormat="false" ht="23.85" hidden="false" customHeight="false" outlineLevel="0" collapsed="false">
      <c r="A22" s="18" t="s">
        <v>1990</v>
      </c>
      <c r="B22" s="18" t="s">
        <v>1987</v>
      </c>
      <c r="C22" s="18" t="s">
        <v>1944</v>
      </c>
      <c r="D22" s="18" t="s">
        <v>136</v>
      </c>
      <c r="E22" s="18" t="s">
        <v>1991</v>
      </c>
      <c r="F22" s="18" t="s">
        <v>1989</v>
      </c>
      <c r="G22" s="18" t="s">
        <v>103</v>
      </c>
      <c r="H22" s="18" t="s">
        <v>1947</v>
      </c>
      <c r="I22" s="18" t="s">
        <v>14</v>
      </c>
    </row>
    <row r="23" customFormat="false" ht="23.85" hidden="false" customHeight="false" outlineLevel="0" collapsed="false">
      <c r="A23" s="17" t="s">
        <v>1992</v>
      </c>
      <c r="B23" s="17" t="s">
        <v>1987</v>
      </c>
      <c r="C23" s="17" t="s">
        <v>1944</v>
      </c>
      <c r="D23" s="17" t="s">
        <v>136</v>
      </c>
      <c r="E23" s="17" t="s">
        <v>1993</v>
      </c>
      <c r="F23" s="17" t="s">
        <v>1989</v>
      </c>
      <c r="G23" s="17" t="s">
        <v>103</v>
      </c>
      <c r="H23" s="17" t="s">
        <v>1947</v>
      </c>
      <c r="I23" s="17" t="s">
        <v>14</v>
      </c>
    </row>
    <row r="24" customFormat="false" ht="23.85" hidden="false" customHeight="false" outlineLevel="0" collapsed="false">
      <c r="A24" s="18" t="s">
        <v>1994</v>
      </c>
      <c r="B24" s="18" t="s">
        <v>1958</v>
      </c>
      <c r="C24" s="18" t="s">
        <v>1944</v>
      </c>
      <c r="D24" s="18" t="s">
        <v>136</v>
      </c>
      <c r="E24" s="18" t="s">
        <v>476</v>
      </c>
      <c r="F24" s="18" t="s">
        <v>1876</v>
      </c>
      <c r="G24" s="18" t="s">
        <v>103</v>
      </c>
      <c r="H24" s="18" t="s">
        <v>1947</v>
      </c>
      <c r="I24" s="18" t="s">
        <v>14</v>
      </c>
    </row>
    <row r="25" customFormat="false" ht="23.85" hidden="false" customHeight="false" outlineLevel="0" collapsed="false">
      <c r="A25" s="17" t="s">
        <v>1995</v>
      </c>
      <c r="B25" s="17" t="s">
        <v>1987</v>
      </c>
      <c r="C25" s="17" t="s">
        <v>1944</v>
      </c>
      <c r="D25" s="17" t="s">
        <v>136</v>
      </c>
      <c r="E25" s="17" t="s">
        <v>1996</v>
      </c>
      <c r="F25" s="17" t="s">
        <v>1997</v>
      </c>
      <c r="G25" s="17" t="s">
        <v>103</v>
      </c>
      <c r="H25" s="17" t="s">
        <v>1947</v>
      </c>
      <c r="I25" s="17" t="s">
        <v>14</v>
      </c>
    </row>
    <row r="26" customFormat="false" ht="23.85" hidden="false" customHeight="false" outlineLevel="0" collapsed="false">
      <c r="A26" s="18" t="s">
        <v>1998</v>
      </c>
      <c r="B26" s="18" t="s">
        <v>1987</v>
      </c>
      <c r="C26" s="18" t="s">
        <v>1944</v>
      </c>
      <c r="D26" s="18" t="s">
        <v>172</v>
      </c>
      <c r="E26" s="18" t="s">
        <v>787</v>
      </c>
      <c r="F26" s="18" t="s">
        <v>1989</v>
      </c>
      <c r="G26" s="18" t="s">
        <v>103</v>
      </c>
      <c r="H26" s="18" t="s">
        <v>1947</v>
      </c>
      <c r="I26" s="18" t="s">
        <v>14</v>
      </c>
    </row>
    <row r="27" customFormat="false" ht="23.85" hidden="false" customHeight="false" outlineLevel="0" collapsed="false">
      <c r="A27" s="17" t="s">
        <v>1999</v>
      </c>
      <c r="B27" s="17" t="s">
        <v>2000</v>
      </c>
      <c r="C27" s="17" t="s">
        <v>1944</v>
      </c>
      <c r="D27" s="17" t="s">
        <v>136</v>
      </c>
      <c r="E27" s="17" t="s">
        <v>2001</v>
      </c>
      <c r="F27" s="17" t="s">
        <v>1989</v>
      </c>
      <c r="G27" s="17" t="s">
        <v>103</v>
      </c>
      <c r="H27" s="17" t="s">
        <v>1947</v>
      </c>
      <c r="I27" s="17" t="s">
        <v>14</v>
      </c>
    </row>
    <row r="28" customFormat="false" ht="23.85" hidden="false" customHeight="false" outlineLevel="0" collapsed="false">
      <c r="A28" s="18" t="s">
        <v>2002</v>
      </c>
      <c r="B28" s="18" t="s">
        <v>2003</v>
      </c>
      <c r="C28" s="18" t="s">
        <v>1944</v>
      </c>
      <c r="D28" s="18" t="s">
        <v>136</v>
      </c>
      <c r="E28" s="18" t="s">
        <v>2004</v>
      </c>
      <c r="F28" s="18" t="s">
        <v>2005</v>
      </c>
      <c r="G28" s="18" t="s">
        <v>103</v>
      </c>
      <c r="H28" s="18" t="s">
        <v>1947</v>
      </c>
      <c r="I28" s="18" t="s">
        <v>14</v>
      </c>
    </row>
    <row r="29" customFormat="false" ht="23.85" hidden="false" customHeight="false" outlineLevel="0" collapsed="false">
      <c r="A29" s="17" t="s">
        <v>2006</v>
      </c>
      <c r="B29" s="17" t="s">
        <v>2003</v>
      </c>
      <c r="C29" s="17" t="s">
        <v>1944</v>
      </c>
      <c r="D29" s="17" t="s">
        <v>136</v>
      </c>
      <c r="E29" s="17" t="s">
        <v>2007</v>
      </c>
      <c r="F29" s="17" t="s">
        <v>2008</v>
      </c>
      <c r="G29" s="17" t="s">
        <v>103</v>
      </c>
      <c r="H29" s="17" t="s">
        <v>1947</v>
      </c>
      <c r="I29" s="17" t="s">
        <v>14</v>
      </c>
    </row>
    <row r="30" customFormat="false" ht="23.85" hidden="false" customHeight="false" outlineLevel="0" collapsed="false">
      <c r="A30" s="18" t="s">
        <v>2009</v>
      </c>
      <c r="B30" s="18" t="s">
        <v>2003</v>
      </c>
      <c r="C30" s="18" t="s">
        <v>1944</v>
      </c>
      <c r="D30" s="18" t="s">
        <v>136</v>
      </c>
      <c r="E30" s="18" t="s">
        <v>755</v>
      </c>
      <c r="F30" s="18" t="s">
        <v>1989</v>
      </c>
      <c r="G30" s="18" t="s">
        <v>103</v>
      </c>
      <c r="H30" s="18" t="s">
        <v>1947</v>
      </c>
      <c r="I30" s="18" t="s">
        <v>14</v>
      </c>
    </row>
    <row r="31" customFormat="false" ht="23.85" hidden="false" customHeight="false" outlineLevel="0" collapsed="false">
      <c r="A31" s="17" t="s">
        <v>1170</v>
      </c>
      <c r="B31" s="17" t="s">
        <v>2003</v>
      </c>
      <c r="C31" s="17" t="s">
        <v>1944</v>
      </c>
      <c r="D31" s="17" t="s">
        <v>136</v>
      </c>
      <c r="E31" s="17" t="s">
        <v>2010</v>
      </c>
      <c r="F31" s="17" t="s">
        <v>2005</v>
      </c>
      <c r="G31" s="17" t="s">
        <v>103</v>
      </c>
      <c r="H31" s="17" t="s">
        <v>1947</v>
      </c>
      <c r="I31" s="17" t="s">
        <v>14</v>
      </c>
    </row>
    <row r="32" customFormat="false" ht="23.85" hidden="false" customHeight="false" outlineLevel="0" collapsed="false">
      <c r="A32" s="18" t="s">
        <v>2011</v>
      </c>
      <c r="B32" s="18" t="s">
        <v>2003</v>
      </c>
      <c r="C32" s="18" t="s">
        <v>1944</v>
      </c>
      <c r="D32" s="18" t="s">
        <v>172</v>
      </c>
      <c r="E32" s="18" t="s">
        <v>2012</v>
      </c>
      <c r="F32" s="18" t="s">
        <v>2005</v>
      </c>
      <c r="G32" s="18" t="s">
        <v>103</v>
      </c>
      <c r="H32" s="18" t="s">
        <v>2013</v>
      </c>
      <c r="I32" s="18" t="s">
        <v>14</v>
      </c>
    </row>
    <row r="33" customFormat="false" ht="23.85" hidden="false" customHeight="false" outlineLevel="0" collapsed="false">
      <c r="A33" s="17" t="s">
        <v>2014</v>
      </c>
      <c r="B33" s="17" t="s">
        <v>2015</v>
      </c>
      <c r="C33" s="17" t="s">
        <v>1944</v>
      </c>
      <c r="D33" s="17" t="s">
        <v>136</v>
      </c>
      <c r="E33" s="17" t="s">
        <v>1115</v>
      </c>
      <c r="F33" s="17" t="s">
        <v>1900</v>
      </c>
      <c r="G33" s="17" t="s">
        <v>103</v>
      </c>
      <c r="H33" s="17" t="s">
        <v>1947</v>
      </c>
      <c r="I33" s="17" t="s">
        <v>14</v>
      </c>
    </row>
    <row r="34" customFormat="false" ht="23.85" hidden="false" customHeight="false" outlineLevel="0" collapsed="false">
      <c r="A34" s="18" t="s">
        <v>1127</v>
      </c>
      <c r="B34" s="18" t="s">
        <v>2015</v>
      </c>
      <c r="C34" s="18" t="s">
        <v>1944</v>
      </c>
      <c r="D34" s="18" t="s">
        <v>136</v>
      </c>
      <c r="E34" s="18" t="s">
        <v>2016</v>
      </c>
      <c r="F34" s="18" t="s">
        <v>1900</v>
      </c>
      <c r="G34" s="18" t="s">
        <v>103</v>
      </c>
      <c r="H34" s="18" t="s">
        <v>1947</v>
      </c>
      <c r="I34" s="18" t="s">
        <v>14</v>
      </c>
    </row>
    <row r="35" customFormat="false" ht="23.85" hidden="false" customHeight="false" outlineLevel="0" collapsed="false">
      <c r="A35" s="17" t="s">
        <v>2017</v>
      </c>
      <c r="B35" s="17" t="s">
        <v>2018</v>
      </c>
      <c r="C35" s="17" t="s">
        <v>1944</v>
      </c>
      <c r="D35" s="17" t="s">
        <v>136</v>
      </c>
      <c r="E35" s="17" t="s">
        <v>1047</v>
      </c>
      <c r="F35" s="17" t="s">
        <v>2019</v>
      </c>
      <c r="G35" s="17" t="s">
        <v>103</v>
      </c>
      <c r="H35" s="17" t="s">
        <v>1947</v>
      </c>
      <c r="I35" s="17" t="s">
        <v>14</v>
      </c>
    </row>
    <row r="36" customFormat="false" ht="23.85" hidden="false" customHeight="false" outlineLevel="0" collapsed="false">
      <c r="A36" s="18" t="s">
        <v>1346</v>
      </c>
      <c r="B36" s="18" t="s">
        <v>2018</v>
      </c>
      <c r="C36" s="18" t="s">
        <v>1944</v>
      </c>
      <c r="D36" s="18" t="s">
        <v>136</v>
      </c>
      <c r="E36" s="18" t="s">
        <v>1349</v>
      </c>
      <c r="F36" s="18" t="s">
        <v>2019</v>
      </c>
      <c r="G36" s="18" t="s">
        <v>103</v>
      </c>
      <c r="H36" s="18" t="s">
        <v>1947</v>
      </c>
      <c r="I36" s="18" t="s">
        <v>14</v>
      </c>
    </row>
    <row r="37" customFormat="false" ht="23.85" hidden="false" customHeight="false" outlineLevel="0" collapsed="false">
      <c r="A37" s="17" t="s">
        <v>2020</v>
      </c>
      <c r="B37" s="17" t="s">
        <v>2021</v>
      </c>
      <c r="C37" s="17" t="s">
        <v>1944</v>
      </c>
      <c r="D37" s="17" t="s">
        <v>136</v>
      </c>
      <c r="E37" s="17" t="s">
        <v>2022</v>
      </c>
      <c r="F37" s="17" t="s">
        <v>2023</v>
      </c>
      <c r="G37" s="17" t="s">
        <v>103</v>
      </c>
      <c r="H37" s="17" t="s">
        <v>1947</v>
      </c>
      <c r="I37" s="17" t="s">
        <v>14</v>
      </c>
    </row>
    <row r="38" customFormat="false" ht="23.85" hidden="false" customHeight="false" outlineLevel="0" collapsed="false">
      <c r="A38" s="18" t="s">
        <v>2024</v>
      </c>
      <c r="B38" s="18" t="s">
        <v>1962</v>
      </c>
      <c r="C38" s="18" t="s">
        <v>1944</v>
      </c>
      <c r="D38" s="18" t="s">
        <v>136</v>
      </c>
      <c r="E38" s="18" t="s">
        <v>2025</v>
      </c>
      <c r="F38" s="18" t="s">
        <v>1964</v>
      </c>
      <c r="G38" s="18" t="s">
        <v>103</v>
      </c>
      <c r="H38" s="18" t="s">
        <v>1947</v>
      </c>
      <c r="I38" s="18" t="s">
        <v>14</v>
      </c>
    </row>
    <row r="39" customFormat="false" ht="23.85" hidden="false" customHeight="false" outlineLevel="0" collapsed="false">
      <c r="A39" s="17" t="s">
        <v>2026</v>
      </c>
      <c r="B39" s="17" t="s">
        <v>2027</v>
      </c>
      <c r="C39" s="17" t="s">
        <v>1944</v>
      </c>
      <c r="D39" s="17" t="s">
        <v>136</v>
      </c>
      <c r="E39" s="17" t="s">
        <v>1666</v>
      </c>
      <c r="F39" s="17" t="s">
        <v>2028</v>
      </c>
      <c r="G39" s="17" t="s">
        <v>103</v>
      </c>
      <c r="H39" s="17" t="s">
        <v>1947</v>
      </c>
      <c r="I39" s="17" t="s">
        <v>14</v>
      </c>
    </row>
    <row r="40" customFormat="false" ht="23.85" hidden="false" customHeight="false" outlineLevel="0" collapsed="false">
      <c r="A40" s="18" t="s">
        <v>2029</v>
      </c>
      <c r="B40" s="18" t="s">
        <v>1943</v>
      </c>
      <c r="C40" s="18" t="s">
        <v>2030</v>
      </c>
      <c r="D40" s="18" t="s">
        <v>172</v>
      </c>
      <c r="E40" s="18" t="s">
        <v>2031</v>
      </c>
      <c r="F40" s="18" t="s">
        <v>1953</v>
      </c>
      <c r="G40" s="18" t="s">
        <v>103</v>
      </c>
      <c r="H40" s="18" t="s">
        <v>2032</v>
      </c>
      <c r="I40" s="18" t="s">
        <v>14</v>
      </c>
    </row>
    <row r="41" customFormat="false" ht="23.85" hidden="false" customHeight="false" outlineLevel="0" collapsed="false">
      <c r="A41" s="17" t="s">
        <v>2033</v>
      </c>
      <c r="B41" s="17" t="s">
        <v>1971</v>
      </c>
      <c r="C41" s="17" t="s">
        <v>2030</v>
      </c>
      <c r="D41" s="17" t="s">
        <v>172</v>
      </c>
      <c r="E41" s="17" t="s">
        <v>2034</v>
      </c>
      <c r="F41" s="17" t="s">
        <v>2035</v>
      </c>
      <c r="G41" s="17" t="s">
        <v>103</v>
      </c>
      <c r="H41" s="17" t="s">
        <v>2032</v>
      </c>
      <c r="I41" s="17" t="s">
        <v>14</v>
      </c>
    </row>
    <row r="42" customFormat="false" ht="23.85" hidden="false" customHeight="false" outlineLevel="0" collapsed="false">
      <c r="A42" s="18" t="s">
        <v>2036</v>
      </c>
      <c r="B42" s="18" t="s">
        <v>1971</v>
      </c>
      <c r="C42" s="18" t="s">
        <v>2030</v>
      </c>
      <c r="D42" s="18" t="s">
        <v>274</v>
      </c>
      <c r="E42" s="18" t="s">
        <v>2037</v>
      </c>
      <c r="F42" s="18" t="s">
        <v>1967</v>
      </c>
      <c r="G42" s="18" t="s">
        <v>103</v>
      </c>
      <c r="H42" s="18" t="s">
        <v>2032</v>
      </c>
      <c r="I42" s="18" t="s">
        <v>14</v>
      </c>
    </row>
    <row r="43" customFormat="false" ht="23.85" hidden="false" customHeight="false" outlineLevel="0" collapsed="false">
      <c r="A43" s="17" t="s">
        <v>2038</v>
      </c>
      <c r="B43" s="17" t="s">
        <v>2027</v>
      </c>
      <c r="C43" s="17" t="s">
        <v>2030</v>
      </c>
      <c r="D43" s="17" t="s">
        <v>274</v>
      </c>
      <c r="E43" s="17" t="s">
        <v>2039</v>
      </c>
      <c r="F43" s="17" t="s">
        <v>1946</v>
      </c>
      <c r="G43" s="17" t="s">
        <v>103</v>
      </c>
      <c r="H43" s="17" t="s">
        <v>2040</v>
      </c>
      <c r="I43" s="17" t="s">
        <v>14</v>
      </c>
    </row>
    <row r="44" customFormat="false" ht="23.85" hidden="false" customHeight="false" outlineLevel="0" collapsed="false">
      <c r="A44" s="18" t="s">
        <v>2041</v>
      </c>
      <c r="B44" s="18" t="s">
        <v>2027</v>
      </c>
      <c r="C44" s="18" t="s">
        <v>2030</v>
      </c>
      <c r="D44" s="18" t="s">
        <v>274</v>
      </c>
      <c r="E44" s="18" t="s">
        <v>2042</v>
      </c>
      <c r="F44" s="18" t="s">
        <v>1946</v>
      </c>
      <c r="G44" s="18" t="s">
        <v>103</v>
      </c>
      <c r="H44" s="18" t="s">
        <v>2040</v>
      </c>
      <c r="I44" s="18" t="s">
        <v>14</v>
      </c>
    </row>
    <row r="45" customFormat="false" ht="23.85" hidden="false" customHeight="false" outlineLevel="0" collapsed="false">
      <c r="A45" s="17" t="s">
        <v>2043</v>
      </c>
      <c r="B45" s="17" t="s">
        <v>1958</v>
      </c>
      <c r="C45" s="17" t="s">
        <v>2030</v>
      </c>
      <c r="D45" s="17" t="s">
        <v>274</v>
      </c>
      <c r="E45" s="17" t="s">
        <v>2044</v>
      </c>
      <c r="F45" s="17" t="s">
        <v>1946</v>
      </c>
      <c r="G45" s="17" t="s">
        <v>103</v>
      </c>
      <c r="H45" s="17" t="s">
        <v>2045</v>
      </c>
      <c r="I45" s="17" t="s">
        <v>14</v>
      </c>
    </row>
    <row r="46" customFormat="false" ht="23.85" hidden="false" customHeight="false" outlineLevel="0" collapsed="false">
      <c r="A46" s="18" t="s">
        <v>2046</v>
      </c>
      <c r="B46" s="18" t="s">
        <v>2047</v>
      </c>
      <c r="C46" s="18" t="s">
        <v>2030</v>
      </c>
      <c r="D46" s="18" t="s">
        <v>274</v>
      </c>
      <c r="E46" s="18" t="s">
        <v>2048</v>
      </c>
      <c r="F46" s="18" t="s">
        <v>2049</v>
      </c>
      <c r="G46" s="18" t="s">
        <v>103</v>
      </c>
      <c r="H46" s="18" t="s">
        <v>2045</v>
      </c>
      <c r="I46" s="18" t="s">
        <v>14</v>
      </c>
    </row>
    <row r="47" customFormat="false" ht="23.85" hidden="false" customHeight="false" outlineLevel="0" collapsed="false">
      <c r="A47" s="17" t="s">
        <v>2050</v>
      </c>
      <c r="B47" s="17" t="s">
        <v>2051</v>
      </c>
      <c r="C47" s="17" t="s">
        <v>2030</v>
      </c>
      <c r="D47" s="17" t="s">
        <v>172</v>
      </c>
      <c r="E47" s="17" t="s">
        <v>2052</v>
      </c>
      <c r="F47" s="17" t="s">
        <v>1997</v>
      </c>
      <c r="G47" s="17" t="s">
        <v>103</v>
      </c>
      <c r="H47" s="17" t="s">
        <v>2053</v>
      </c>
      <c r="I47" s="17" t="s">
        <v>14</v>
      </c>
    </row>
    <row r="48" customFormat="false" ht="23.85" hidden="false" customHeight="false" outlineLevel="0" collapsed="false">
      <c r="A48" s="18" t="s">
        <v>2054</v>
      </c>
      <c r="B48" s="18" t="s">
        <v>2000</v>
      </c>
      <c r="C48" s="18" t="s">
        <v>2030</v>
      </c>
      <c r="D48" s="18" t="s">
        <v>172</v>
      </c>
      <c r="E48" s="18" t="s">
        <v>2055</v>
      </c>
      <c r="F48" s="18" t="s">
        <v>2056</v>
      </c>
      <c r="G48" s="18" t="s">
        <v>103</v>
      </c>
      <c r="H48" s="18" t="s">
        <v>2057</v>
      </c>
      <c r="I48" s="18" t="s">
        <v>14</v>
      </c>
    </row>
    <row r="49" customFormat="false" ht="23.85" hidden="false" customHeight="false" outlineLevel="0" collapsed="false">
      <c r="A49" s="17" t="s">
        <v>2058</v>
      </c>
      <c r="B49" s="17" t="s">
        <v>2000</v>
      </c>
      <c r="C49" s="17" t="s">
        <v>2030</v>
      </c>
      <c r="D49" s="17" t="s">
        <v>274</v>
      </c>
      <c r="E49" s="17" t="s">
        <v>2059</v>
      </c>
      <c r="F49" s="17" t="s">
        <v>2060</v>
      </c>
      <c r="G49" s="17" t="s">
        <v>103</v>
      </c>
      <c r="H49" s="17" t="s">
        <v>2057</v>
      </c>
      <c r="I49" s="17" t="s">
        <v>14</v>
      </c>
    </row>
    <row r="50" customFormat="false" ht="23.85" hidden="false" customHeight="false" outlineLevel="0" collapsed="false">
      <c r="A50" s="18" t="s">
        <v>2061</v>
      </c>
      <c r="B50" s="18" t="s">
        <v>1973</v>
      </c>
      <c r="C50" s="18" t="s">
        <v>2030</v>
      </c>
      <c r="D50" s="18" t="s">
        <v>172</v>
      </c>
      <c r="E50" s="18" t="s">
        <v>2062</v>
      </c>
      <c r="F50" s="18" t="s">
        <v>1907</v>
      </c>
      <c r="G50" s="18" t="s">
        <v>103</v>
      </c>
      <c r="H50" s="18" t="s">
        <v>2063</v>
      </c>
      <c r="I50" s="18" t="s">
        <v>14</v>
      </c>
    </row>
    <row r="51" customFormat="false" ht="23.85" hidden="false" customHeight="false" outlineLevel="0" collapsed="false">
      <c r="A51" s="17" t="s">
        <v>2064</v>
      </c>
      <c r="B51" s="17" t="s">
        <v>2027</v>
      </c>
      <c r="C51" s="17" t="s">
        <v>2030</v>
      </c>
      <c r="D51" s="17" t="s">
        <v>274</v>
      </c>
      <c r="E51" s="17" t="s">
        <v>2065</v>
      </c>
      <c r="F51" s="17" t="s">
        <v>1967</v>
      </c>
      <c r="G51" s="17" t="s">
        <v>103</v>
      </c>
      <c r="H51" s="17" t="s">
        <v>2066</v>
      </c>
      <c r="I51" s="17" t="s">
        <v>14</v>
      </c>
    </row>
    <row r="52" customFormat="false" ht="23.85" hidden="false" customHeight="false" outlineLevel="0" collapsed="false">
      <c r="A52" s="18" t="s">
        <v>2067</v>
      </c>
      <c r="B52" s="18" t="s">
        <v>1981</v>
      </c>
      <c r="C52" s="18" t="s">
        <v>2030</v>
      </c>
      <c r="D52" s="18" t="s">
        <v>274</v>
      </c>
      <c r="E52" s="18" t="s">
        <v>2068</v>
      </c>
      <c r="F52" s="18" t="s">
        <v>1933</v>
      </c>
      <c r="G52" s="18" t="s">
        <v>103</v>
      </c>
      <c r="H52" s="18" t="s">
        <v>2069</v>
      </c>
      <c r="I52" s="18" t="s">
        <v>14</v>
      </c>
    </row>
    <row r="53" customFormat="false" ht="23.85" hidden="false" customHeight="false" outlineLevel="0" collapsed="false">
      <c r="A53" s="17" t="s">
        <v>2070</v>
      </c>
      <c r="B53" s="17" t="s">
        <v>1981</v>
      </c>
      <c r="C53" s="17" t="s">
        <v>2030</v>
      </c>
      <c r="D53" s="17" t="s">
        <v>2071</v>
      </c>
      <c r="E53" s="17" t="s">
        <v>2072</v>
      </c>
      <c r="F53" s="17" t="s">
        <v>1960</v>
      </c>
      <c r="G53" s="17" t="s">
        <v>103</v>
      </c>
      <c r="H53" s="17" t="s">
        <v>2069</v>
      </c>
      <c r="I53" s="17" t="s">
        <v>14</v>
      </c>
    </row>
    <row r="54" customFormat="false" ht="23.85" hidden="false" customHeight="false" outlineLevel="0" collapsed="false">
      <c r="A54" s="18" t="s">
        <v>2073</v>
      </c>
      <c r="B54" s="18" t="s">
        <v>1958</v>
      </c>
      <c r="C54" s="18" t="s">
        <v>2030</v>
      </c>
      <c r="D54" s="18" t="s">
        <v>274</v>
      </c>
      <c r="E54" s="18" t="s">
        <v>2074</v>
      </c>
      <c r="F54" s="18" t="s">
        <v>1946</v>
      </c>
      <c r="G54" s="18" t="s">
        <v>103</v>
      </c>
      <c r="H54" s="18" t="s">
        <v>2053</v>
      </c>
      <c r="I54" s="18" t="s">
        <v>14</v>
      </c>
    </row>
    <row r="55" customFormat="false" ht="23.85" hidden="false" customHeight="false" outlineLevel="0" collapsed="false">
      <c r="A55" s="17" t="s">
        <v>2075</v>
      </c>
      <c r="B55" s="17" t="s">
        <v>1958</v>
      </c>
      <c r="C55" s="17" t="s">
        <v>2030</v>
      </c>
      <c r="D55" s="17" t="s">
        <v>274</v>
      </c>
      <c r="E55" s="17" t="s">
        <v>2076</v>
      </c>
      <c r="F55" s="17" t="s">
        <v>1946</v>
      </c>
      <c r="G55" s="17" t="s">
        <v>103</v>
      </c>
      <c r="H55" s="17" t="s">
        <v>2053</v>
      </c>
      <c r="I55" s="17" t="s">
        <v>14</v>
      </c>
    </row>
    <row r="56" customFormat="false" ht="23.85" hidden="false" customHeight="false" outlineLevel="0" collapsed="false">
      <c r="A56" s="18" t="s">
        <v>2077</v>
      </c>
      <c r="B56" s="18" t="s">
        <v>1958</v>
      </c>
      <c r="C56" s="18" t="s">
        <v>2030</v>
      </c>
      <c r="D56" s="18" t="s">
        <v>274</v>
      </c>
      <c r="E56" s="18" t="s">
        <v>2078</v>
      </c>
      <c r="F56" s="18" t="s">
        <v>1946</v>
      </c>
      <c r="G56" s="18" t="s">
        <v>103</v>
      </c>
      <c r="H56" s="18" t="s">
        <v>2053</v>
      </c>
      <c r="I56" s="18" t="s">
        <v>14</v>
      </c>
    </row>
    <row r="57" customFormat="false" ht="23.85" hidden="false" customHeight="false" outlineLevel="0" collapsed="false">
      <c r="A57" s="17" t="s">
        <v>2079</v>
      </c>
      <c r="B57" s="17" t="s">
        <v>1971</v>
      </c>
      <c r="C57" s="17" t="s">
        <v>2030</v>
      </c>
      <c r="D57" s="17" t="s">
        <v>2071</v>
      </c>
      <c r="E57" s="17" t="s">
        <v>2080</v>
      </c>
      <c r="F57" s="17" t="s">
        <v>2019</v>
      </c>
      <c r="G57" s="17" t="s">
        <v>103</v>
      </c>
      <c r="H57" s="17" t="s">
        <v>2081</v>
      </c>
      <c r="I57" s="17" t="s">
        <v>14</v>
      </c>
    </row>
    <row r="58" customFormat="false" ht="23.85" hidden="false" customHeight="false" outlineLevel="0" collapsed="false">
      <c r="A58" s="18" t="s">
        <v>2082</v>
      </c>
      <c r="B58" s="18" t="s">
        <v>1943</v>
      </c>
      <c r="C58" s="18" t="s">
        <v>2030</v>
      </c>
      <c r="D58" s="18" t="s">
        <v>2071</v>
      </c>
      <c r="E58" s="18" t="s">
        <v>2083</v>
      </c>
      <c r="F58" s="18" t="s">
        <v>2019</v>
      </c>
      <c r="G58" s="18" t="s">
        <v>103</v>
      </c>
      <c r="H58" s="18" t="s">
        <v>2081</v>
      </c>
      <c r="I58" s="18" t="s">
        <v>14</v>
      </c>
    </row>
    <row r="59" customFormat="false" ht="23.85" hidden="false" customHeight="false" outlineLevel="0" collapsed="false">
      <c r="A59" s="17" t="s">
        <v>2084</v>
      </c>
      <c r="B59" s="17" t="s">
        <v>1943</v>
      </c>
      <c r="C59" s="17" t="s">
        <v>2030</v>
      </c>
      <c r="D59" s="17" t="s">
        <v>274</v>
      </c>
      <c r="E59" s="17" t="s">
        <v>2085</v>
      </c>
      <c r="F59" s="17" t="s">
        <v>1953</v>
      </c>
      <c r="G59" s="17" t="s">
        <v>103</v>
      </c>
      <c r="H59" s="17" t="s">
        <v>2040</v>
      </c>
      <c r="I59" s="17" t="s">
        <v>14</v>
      </c>
    </row>
    <row r="60" customFormat="false" ht="23.85" hidden="false" customHeight="false" outlineLevel="0" collapsed="false">
      <c r="A60" s="18" t="s">
        <v>2086</v>
      </c>
      <c r="B60" s="18" t="s">
        <v>1943</v>
      </c>
      <c r="C60" s="18" t="s">
        <v>2030</v>
      </c>
      <c r="D60" s="18" t="s">
        <v>274</v>
      </c>
      <c r="E60" s="18" t="s">
        <v>2087</v>
      </c>
      <c r="F60" s="18" t="s">
        <v>1946</v>
      </c>
      <c r="G60" s="18" t="s">
        <v>103</v>
      </c>
      <c r="H60" s="18" t="s">
        <v>2040</v>
      </c>
      <c r="I60" s="18" t="s">
        <v>14</v>
      </c>
    </row>
    <row r="61" customFormat="false" ht="23.85" hidden="false" customHeight="false" outlineLevel="0" collapsed="false">
      <c r="A61" s="17" t="s">
        <v>2088</v>
      </c>
      <c r="B61" s="17" t="s">
        <v>2003</v>
      </c>
      <c r="C61" s="17" t="s">
        <v>2030</v>
      </c>
      <c r="D61" s="17" t="s">
        <v>274</v>
      </c>
      <c r="E61" s="17" t="s">
        <v>2089</v>
      </c>
      <c r="F61" s="17" t="s">
        <v>2005</v>
      </c>
      <c r="G61" s="17" t="s">
        <v>103</v>
      </c>
      <c r="H61" s="17" t="s">
        <v>2045</v>
      </c>
      <c r="I61" s="17" t="s">
        <v>14</v>
      </c>
    </row>
    <row r="62" customFormat="false" ht="23.85" hidden="false" customHeight="false" outlineLevel="0" collapsed="false">
      <c r="A62" s="18" t="s">
        <v>2090</v>
      </c>
      <c r="B62" s="18" t="s">
        <v>2027</v>
      </c>
      <c r="C62" s="18" t="s">
        <v>2030</v>
      </c>
      <c r="D62" s="18" t="s">
        <v>2071</v>
      </c>
      <c r="E62" s="18" t="s">
        <v>2091</v>
      </c>
      <c r="F62" s="18" t="s">
        <v>2060</v>
      </c>
      <c r="G62" s="18" t="s">
        <v>103</v>
      </c>
      <c r="H62" s="18" t="s">
        <v>2066</v>
      </c>
      <c r="I62" s="18" t="s">
        <v>14</v>
      </c>
    </row>
    <row r="63" customFormat="false" ht="23.85" hidden="false" customHeight="false" outlineLevel="0" collapsed="false">
      <c r="A63" s="17" t="s">
        <v>2092</v>
      </c>
      <c r="B63" s="17" t="s">
        <v>2027</v>
      </c>
      <c r="C63" s="17" t="s">
        <v>2030</v>
      </c>
      <c r="D63" s="17" t="s">
        <v>2071</v>
      </c>
      <c r="E63" s="17" t="s">
        <v>2093</v>
      </c>
      <c r="F63" s="17" t="s">
        <v>1964</v>
      </c>
      <c r="G63" s="17" t="s">
        <v>103</v>
      </c>
      <c r="H63" s="17" t="s">
        <v>2040</v>
      </c>
      <c r="I63" s="17" t="s">
        <v>14</v>
      </c>
    </row>
  </sheetData>
  <autoFilter ref="A4:I63"/>
  <mergeCells count="2">
    <mergeCell ref="A1:I1"/>
    <mergeCell ref="A2:I2"/>
  </mergeCells>
  <conditionalFormatting sqref="C5:C63">
    <cfRule type="expression" priority="2" aboveAverage="0" equalAverage="0" bottom="0" percent="0" rank="0" text="" dxfId="20">
      <formula>EXACT($C5,"MVP")</formula>
    </cfRule>
    <cfRule type="expression" priority="3" aboveAverage="0" equalAverage="0" bottom="0" percent="0" rank="0" text="" dxfId="22">
      <formula>EXACT($C5,"FUTURE")</formula>
    </cfRule>
    <cfRule type="expression" priority="4" aboveAverage="0" equalAverage="0" bottom="0" percent="0" rank="0" text="" dxfId="21">
      <formula>EXACT($C5,"DEFERRED")</formula>
    </cfRule>
  </conditionalFormatting>
  <conditionalFormatting sqref="D5:D63">
    <cfRule type="expression" priority="5" aboveAverage="0" equalAverage="0" bottom="0" percent="0" rank="0" text="" dxfId="18">
      <formula>EXACT($D5,"CRITICAL")</formula>
    </cfRule>
    <cfRule type="expression" priority="6" aboveAverage="0" equalAverage="0" bottom="0" percent="0" rank="0" text="" dxfId="17">
      <formula>EXACT($D5,"HIGH")</formula>
    </cfRule>
    <cfRule type="expression" priority="7" aboveAverage="0" equalAverage="0" bottom="0" percent="0" rank="0" text="" dxfId="19">
      <formula>EXACT($D5,"MEDIUM")</formula>
    </cfRule>
    <cfRule type="expression" priority="8" aboveAverage="0" equalAverage="0" bottom="0" percent="0" rank="0" text="" dxfId="22">
      <formula>EXACT($D5,"LOW")</formula>
    </cfRule>
  </conditionalFormatting>
  <conditionalFormatting sqref="G5:G63">
    <cfRule type="expression" priority="9" aboveAverage="0" equalAverage="0" bottom="0" percent="0" rank="0" text="" dxfId="16">
      <formula>EXACT($G5,"NOT STARTED")</formula>
    </cfRule>
    <cfRule type="expression" priority="10" aboveAverage="0" equalAverage="0" bottom="0" percent="0" rank="0" text="" dxfId="17">
      <formula>EXACT($G5,"IN PROGRESS")</formula>
    </cfRule>
    <cfRule type="expression" priority="11" aboveAverage="0" equalAverage="0" bottom="0" percent="0" rank="0" text="" dxfId="18">
      <formula>EXACT($G5,"BLOCKED")</formula>
    </cfRule>
    <cfRule type="expression" priority="12" aboveAverage="0" equalAverage="0" bottom="0" percent="0" rank="0" text="" dxfId="19">
      <formula>EXACT($G5,"REVIEW")</formula>
    </cfRule>
    <cfRule type="expression" priority="13" aboveAverage="0" equalAverage="0" bottom="0" percent="0" rank="0" text="" dxfId="20">
      <formula>EXACT($G5,"DONE")</formula>
    </cfRule>
    <cfRule type="expression" priority="14" aboveAverage="0" equalAverage="0" bottom="0" percent="0" rank="0" text="" dxfId="21">
      <formula>EXACT($G5,"DEFERRED")</formula>
    </cfRule>
  </conditionalFormatting>
  <conditionalFormatting sqref="I5:I63">
    <cfRule type="expression" priority="15" aboveAverage="0" equalAverage="0" bottom="0" percent="0" rank="0" text="" dxfId="20">
      <formula>EXACT($I5,"OBSERVED FROM RESEARCH")</formula>
    </cfRule>
    <cfRule type="expression" priority="16" aboveAverage="0" equalAverage="0" bottom="0" percent="0" rank="0" text="" dxfId="19">
      <formula>EXACT($I5,"PROPOSED")</formula>
    </cfRule>
    <cfRule type="expression" priority="17" aboveAverage="0" equalAverage="0" bottom="0" percent="0" rank="0" text="" dxfId="23">
      <formula>EXACT($I5,"DECISION REQUIRED")</formula>
    </cfRule>
    <cfRule type="expression" priority="18" aboveAverage="0" equalAverage="0" bottom="0" percent="0" rank="0" text="" dxfId="24">
      <formula>EXACT($I5,"USER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G5:G63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8" min="7" style="0" width="3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19" t="s">
        <v>2094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7.75" hidden="false" customHeight="true" outlineLevel="0" collapsed="false">
      <c r="A2" s="11" t="s">
        <v>2095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customFormat="false" ht="33.75" hidden="false" customHeight="true" outlineLevel="0" collapsed="false">
      <c r="A4" s="16" t="s">
        <v>1937</v>
      </c>
      <c r="B4" s="16" t="s">
        <v>2096</v>
      </c>
      <c r="C4" s="16" t="s">
        <v>118</v>
      </c>
      <c r="D4" s="16" t="s">
        <v>2097</v>
      </c>
      <c r="E4" s="16" t="s">
        <v>1981</v>
      </c>
      <c r="F4" s="16" t="s">
        <v>2098</v>
      </c>
      <c r="G4" s="16" t="s">
        <v>2099</v>
      </c>
      <c r="H4" s="16" t="s">
        <v>2100</v>
      </c>
      <c r="I4" s="16" t="s">
        <v>2101</v>
      </c>
      <c r="J4" s="16" t="s">
        <v>120</v>
      </c>
      <c r="K4" s="16" t="s">
        <v>122</v>
      </c>
      <c r="L4" s="16" t="s">
        <v>128</v>
      </c>
    </row>
    <row r="5" customFormat="false" ht="23.85" hidden="false" customHeight="false" outlineLevel="0" collapsed="false">
      <c r="A5" s="17" t="s">
        <v>2102</v>
      </c>
      <c r="B5" s="17" t="s">
        <v>1971</v>
      </c>
      <c r="C5" s="17" t="s">
        <v>2103</v>
      </c>
      <c r="D5" s="17" t="s">
        <v>1944</v>
      </c>
      <c r="E5" s="17" t="s">
        <v>2104</v>
      </c>
      <c r="F5" s="17" t="s">
        <v>2104</v>
      </c>
      <c r="G5" s="17" t="s">
        <v>2105</v>
      </c>
      <c r="H5" s="17" t="s">
        <v>2106</v>
      </c>
      <c r="I5" s="17" t="s">
        <v>1947</v>
      </c>
      <c r="J5" s="17" t="s">
        <v>1946</v>
      </c>
      <c r="K5" s="17" t="s">
        <v>103</v>
      </c>
      <c r="L5" s="17" t="s">
        <v>14</v>
      </c>
    </row>
    <row r="6" customFormat="false" ht="23.85" hidden="false" customHeight="false" outlineLevel="0" collapsed="false">
      <c r="A6" s="18" t="s">
        <v>2107</v>
      </c>
      <c r="B6" s="18" t="s">
        <v>1971</v>
      </c>
      <c r="C6" s="18" t="s">
        <v>2108</v>
      </c>
      <c r="D6" s="18" t="s">
        <v>1944</v>
      </c>
      <c r="E6" s="18" t="s">
        <v>2104</v>
      </c>
      <c r="F6" s="18" t="s">
        <v>2104</v>
      </c>
      <c r="G6" s="18" t="s">
        <v>2109</v>
      </c>
      <c r="H6" s="18" t="s">
        <v>2110</v>
      </c>
      <c r="I6" s="18" t="s">
        <v>1947</v>
      </c>
      <c r="J6" s="18" t="s">
        <v>2111</v>
      </c>
      <c r="K6" s="18" t="s">
        <v>103</v>
      </c>
      <c r="L6" s="18" t="s">
        <v>14</v>
      </c>
    </row>
    <row r="7" customFormat="false" ht="23.85" hidden="false" customHeight="false" outlineLevel="0" collapsed="false">
      <c r="A7" s="17" t="s">
        <v>2112</v>
      </c>
      <c r="B7" s="17" t="s">
        <v>1971</v>
      </c>
      <c r="C7" s="17" t="s">
        <v>2113</v>
      </c>
      <c r="D7" s="17" t="s">
        <v>1944</v>
      </c>
      <c r="E7" s="17" t="s">
        <v>2104</v>
      </c>
      <c r="F7" s="17" t="s">
        <v>2104</v>
      </c>
      <c r="G7" s="17" t="s">
        <v>2114</v>
      </c>
      <c r="H7" s="17" t="s">
        <v>2115</v>
      </c>
      <c r="I7" s="17" t="s">
        <v>1947</v>
      </c>
      <c r="J7" s="17" t="s">
        <v>1953</v>
      </c>
      <c r="K7" s="17" t="s">
        <v>103</v>
      </c>
      <c r="L7" s="17" t="s">
        <v>14</v>
      </c>
    </row>
    <row r="8" customFormat="false" ht="23.85" hidden="false" customHeight="false" outlineLevel="0" collapsed="false">
      <c r="A8" s="18" t="s">
        <v>2116</v>
      </c>
      <c r="B8" s="18" t="s">
        <v>1971</v>
      </c>
      <c r="C8" s="18" t="s">
        <v>2117</v>
      </c>
      <c r="D8" s="18" t="s">
        <v>1944</v>
      </c>
      <c r="E8" s="18" t="s">
        <v>2104</v>
      </c>
      <c r="F8" s="18" t="s">
        <v>2104</v>
      </c>
      <c r="G8" s="18" t="s">
        <v>2105</v>
      </c>
      <c r="H8" s="18" t="s">
        <v>2106</v>
      </c>
      <c r="I8" s="18" t="s">
        <v>1947</v>
      </c>
      <c r="J8" s="18" t="s">
        <v>1953</v>
      </c>
      <c r="K8" s="18" t="s">
        <v>103</v>
      </c>
      <c r="L8" s="18" t="s">
        <v>14</v>
      </c>
    </row>
    <row r="9" customFormat="false" ht="23.85" hidden="false" customHeight="false" outlineLevel="0" collapsed="false">
      <c r="A9" s="17" t="s">
        <v>2118</v>
      </c>
      <c r="B9" s="17" t="s">
        <v>1971</v>
      </c>
      <c r="C9" s="17" t="s">
        <v>2119</v>
      </c>
      <c r="D9" s="17" t="s">
        <v>1944</v>
      </c>
      <c r="E9" s="17" t="s">
        <v>2104</v>
      </c>
      <c r="F9" s="17" t="s">
        <v>2104</v>
      </c>
      <c r="G9" s="17" t="s">
        <v>2105</v>
      </c>
      <c r="H9" s="17" t="s">
        <v>2120</v>
      </c>
      <c r="I9" s="17" t="s">
        <v>1947</v>
      </c>
      <c r="J9" s="17" t="s">
        <v>1953</v>
      </c>
      <c r="K9" s="17" t="s">
        <v>103</v>
      </c>
      <c r="L9" s="17" t="s">
        <v>14</v>
      </c>
    </row>
    <row r="10" customFormat="false" ht="23.85" hidden="false" customHeight="false" outlineLevel="0" collapsed="false">
      <c r="A10" s="18" t="s">
        <v>2121</v>
      </c>
      <c r="B10" s="18" t="s">
        <v>1971</v>
      </c>
      <c r="C10" s="18" t="s">
        <v>2122</v>
      </c>
      <c r="D10" s="18" t="s">
        <v>1944</v>
      </c>
      <c r="E10" s="18" t="s">
        <v>2104</v>
      </c>
      <c r="F10" s="18" t="s">
        <v>2104</v>
      </c>
      <c r="G10" s="18" t="s">
        <v>2105</v>
      </c>
      <c r="H10" s="18" t="s">
        <v>2123</v>
      </c>
      <c r="I10" s="18" t="s">
        <v>1947</v>
      </c>
      <c r="J10" s="18" t="s">
        <v>1964</v>
      </c>
      <c r="K10" s="18" t="s">
        <v>103</v>
      </c>
      <c r="L10" s="18" t="s">
        <v>14</v>
      </c>
    </row>
    <row r="11" customFormat="false" ht="23.85" hidden="false" customHeight="false" outlineLevel="0" collapsed="false">
      <c r="A11" s="17" t="s">
        <v>2124</v>
      </c>
      <c r="B11" s="17" t="s">
        <v>1971</v>
      </c>
      <c r="C11" s="17" t="s">
        <v>2125</v>
      </c>
      <c r="D11" s="17" t="s">
        <v>1944</v>
      </c>
      <c r="E11" s="17" t="s">
        <v>2104</v>
      </c>
      <c r="F11" s="17" t="s">
        <v>2104</v>
      </c>
      <c r="G11" s="17" t="s">
        <v>2126</v>
      </c>
      <c r="H11" s="17" t="s">
        <v>2127</v>
      </c>
      <c r="I11" s="17" t="s">
        <v>1947</v>
      </c>
      <c r="J11" s="17" t="s">
        <v>1967</v>
      </c>
      <c r="K11" s="17" t="s">
        <v>103</v>
      </c>
      <c r="L11" s="17" t="s">
        <v>14</v>
      </c>
    </row>
    <row r="12" customFormat="false" ht="23.85" hidden="false" customHeight="false" outlineLevel="0" collapsed="false">
      <c r="A12" s="18" t="s">
        <v>903</v>
      </c>
      <c r="B12" s="18" t="s">
        <v>1971</v>
      </c>
      <c r="C12" s="18" t="s">
        <v>2128</v>
      </c>
      <c r="D12" s="18" t="s">
        <v>1944</v>
      </c>
      <c r="E12" s="18" t="s">
        <v>2104</v>
      </c>
      <c r="F12" s="18" t="s">
        <v>2129</v>
      </c>
      <c r="G12" s="18" t="s">
        <v>2130</v>
      </c>
      <c r="H12" s="18" t="s">
        <v>2131</v>
      </c>
      <c r="I12" s="18" t="s">
        <v>2132</v>
      </c>
      <c r="J12" s="18" t="s">
        <v>1967</v>
      </c>
      <c r="K12" s="18" t="s">
        <v>103</v>
      </c>
      <c r="L12" s="18" t="s">
        <v>14</v>
      </c>
    </row>
    <row r="13" customFormat="false" ht="23.85" hidden="false" customHeight="false" outlineLevel="0" collapsed="false">
      <c r="A13" s="17" t="s">
        <v>928</v>
      </c>
      <c r="B13" s="17" t="s">
        <v>1971</v>
      </c>
      <c r="C13" s="17" t="s">
        <v>2133</v>
      </c>
      <c r="D13" s="17" t="s">
        <v>1944</v>
      </c>
      <c r="E13" s="17" t="s">
        <v>2104</v>
      </c>
      <c r="F13" s="17" t="s">
        <v>2129</v>
      </c>
      <c r="G13" s="17" t="s">
        <v>2134</v>
      </c>
      <c r="H13" s="17" t="s">
        <v>2131</v>
      </c>
      <c r="I13" s="17" t="s">
        <v>2135</v>
      </c>
      <c r="J13" s="17" t="s">
        <v>2136</v>
      </c>
      <c r="K13" s="17" t="s">
        <v>103</v>
      </c>
      <c r="L13" s="17" t="s">
        <v>14</v>
      </c>
    </row>
    <row r="14" customFormat="false" ht="23.85" hidden="false" customHeight="false" outlineLevel="0" collapsed="false">
      <c r="A14" s="18" t="s">
        <v>961</v>
      </c>
      <c r="B14" s="18" t="s">
        <v>1971</v>
      </c>
      <c r="C14" s="18" t="s">
        <v>2137</v>
      </c>
      <c r="D14" s="18" t="s">
        <v>1944</v>
      </c>
      <c r="E14" s="18" t="s">
        <v>2104</v>
      </c>
      <c r="F14" s="18" t="s">
        <v>2104</v>
      </c>
      <c r="G14" s="18" t="s">
        <v>2138</v>
      </c>
      <c r="H14" s="18" t="s">
        <v>2139</v>
      </c>
      <c r="I14" s="18" t="s">
        <v>1947</v>
      </c>
      <c r="J14" s="18" t="s">
        <v>2140</v>
      </c>
      <c r="K14" s="18" t="s">
        <v>103</v>
      </c>
      <c r="L14" s="18" t="s">
        <v>14</v>
      </c>
    </row>
    <row r="15" customFormat="false" ht="23.85" hidden="false" customHeight="false" outlineLevel="0" collapsed="false">
      <c r="A15" s="17" t="s">
        <v>2141</v>
      </c>
      <c r="B15" s="17" t="s">
        <v>1971</v>
      </c>
      <c r="C15" s="17" t="s">
        <v>2142</v>
      </c>
      <c r="D15" s="17" t="s">
        <v>1944</v>
      </c>
      <c r="E15" s="17" t="s">
        <v>2104</v>
      </c>
      <c r="F15" s="17" t="s">
        <v>2104</v>
      </c>
      <c r="G15" s="17" t="s">
        <v>2143</v>
      </c>
      <c r="H15" s="17" t="s">
        <v>2144</v>
      </c>
      <c r="I15" s="17" t="s">
        <v>1947</v>
      </c>
      <c r="J15" s="17" t="s">
        <v>1907</v>
      </c>
      <c r="K15" s="17" t="s">
        <v>103</v>
      </c>
      <c r="L15" s="17" t="s">
        <v>14</v>
      </c>
    </row>
    <row r="16" customFormat="false" ht="23.85" hidden="false" customHeight="false" outlineLevel="0" collapsed="false">
      <c r="A16" s="18" t="s">
        <v>2145</v>
      </c>
      <c r="B16" s="18" t="s">
        <v>1971</v>
      </c>
      <c r="C16" s="18" t="s">
        <v>2146</v>
      </c>
      <c r="D16" s="18" t="s">
        <v>1944</v>
      </c>
      <c r="E16" s="18" t="s">
        <v>2104</v>
      </c>
      <c r="F16" s="18" t="s">
        <v>2104</v>
      </c>
      <c r="G16" s="18" t="s">
        <v>2147</v>
      </c>
      <c r="H16" s="18" t="s">
        <v>2148</v>
      </c>
      <c r="I16" s="18" t="s">
        <v>2149</v>
      </c>
      <c r="J16" s="18" t="s">
        <v>1976</v>
      </c>
      <c r="K16" s="18" t="s">
        <v>103</v>
      </c>
      <c r="L16" s="18" t="s">
        <v>14</v>
      </c>
    </row>
    <row r="17" customFormat="false" ht="15" hidden="false" customHeight="false" outlineLevel="0" collapsed="false">
      <c r="A17" s="17" t="s">
        <v>952</v>
      </c>
      <c r="B17" s="17" t="s">
        <v>1971</v>
      </c>
      <c r="C17" s="17" t="s">
        <v>2150</v>
      </c>
      <c r="D17" s="17" t="s">
        <v>1944</v>
      </c>
      <c r="E17" s="17" t="s">
        <v>2104</v>
      </c>
      <c r="F17" s="17" t="s">
        <v>2104</v>
      </c>
      <c r="G17" s="17" t="s">
        <v>2105</v>
      </c>
      <c r="H17" s="17" t="s">
        <v>2151</v>
      </c>
      <c r="I17" s="17" t="s">
        <v>1947</v>
      </c>
      <c r="J17" s="17" t="s">
        <v>2152</v>
      </c>
      <c r="K17" s="17" t="s">
        <v>103</v>
      </c>
      <c r="L17" s="17" t="s">
        <v>18</v>
      </c>
    </row>
    <row r="18" customFormat="false" ht="23.85" hidden="false" customHeight="false" outlineLevel="0" collapsed="false">
      <c r="A18" s="18" t="s">
        <v>876</v>
      </c>
      <c r="B18" s="18" t="s">
        <v>1971</v>
      </c>
      <c r="C18" s="18" t="s">
        <v>2153</v>
      </c>
      <c r="D18" s="18" t="s">
        <v>1944</v>
      </c>
      <c r="E18" s="18" t="s">
        <v>2104</v>
      </c>
      <c r="F18" s="18" t="s">
        <v>2104</v>
      </c>
      <c r="G18" s="18" t="s">
        <v>2105</v>
      </c>
      <c r="H18" s="18" t="s">
        <v>2106</v>
      </c>
      <c r="I18" s="18" t="s">
        <v>1947</v>
      </c>
      <c r="J18" s="18" t="s">
        <v>1953</v>
      </c>
      <c r="K18" s="18" t="s">
        <v>103</v>
      </c>
      <c r="L18" s="18" t="s">
        <v>14</v>
      </c>
    </row>
    <row r="19" customFormat="false" ht="23.85" hidden="false" customHeight="false" outlineLevel="0" collapsed="false">
      <c r="A19" s="17" t="s">
        <v>2154</v>
      </c>
      <c r="B19" s="17" t="s">
        <v>1971</v>
      </c>
      <c r="C19" s="17" t="s">
        <v>2155</v>
      </c>
      <c r="D19" s="17" t="s">
        <v>2030</v>
      </c>
      <c r="E19" s="17" t="s">
        <v>2104</v>
      </c>
      <c r="F19" s="17" t="s">
        <v>2104</v>
      </c>
      <c r="G19" s="17" t="s">
        <v>2156</v>
      </c>
      <c r="H19" s="17" t="s">
        <v>2157</v>
      </c>
      <c r="I19" s="17" t="s">
        <v>2158</v>
      </c>
      <c r="J19" s="17" t="s">
        <v>2032</v>
      </c>
      <c r="K19" s="17" t="s">
        <v>103</v>
      </c>
      <c r="L19" s="17" t="s">
        <v>14</v>
      </c>
    </row>
    <row r="20" customFormat="false" ht="23.85" hidden="false" customHeight="false" outlineLevel="0" collapsed="false">
      <c r="A20" s="18" t="s">
        <v>2159</v>
      </c>
      <c r="B20" s="18" t="s">
        <v>1971</v>
      </c>
      <c r="C20" s="18" t="s">
        <v>2160</v>
      </c>
      <c r="D20" s="18" t="s">
        <v>2030</v>
      </c>
      <c r="E20" s="18" t="s">
        <v>2104</v>
      </c>
      <c r="F20" s="18" t="s">
        <v>2104</v>
      </c>
      <c r="G20" s="18" t="s">
        <v>2161</v>
      </c>
      <c r="H20" s="18" t="s">
        <v>2162</v>
      </c>
      <c r="I20" s="18" t="s">
        <v>2135</v>
      </c>
      <c r="J20" s="18" t="s">
        <v>2032</v>
      </c>
      <c r="K20" s="18" t="s">
        <v>103</v>
      </c>
      <c r="L20" s="18" t="s">
        <v>14</v>
      </c>
    </row>
    <row r="21" customFormat="false" ht="23.85" hidden="false" customHeight="false" outlineLevel="0" collapsed="false">
      <c r="A21" s="17" t="s">
        <v>2163</v>
      </c>
      <c r="B21" s="17" t="s">
        <v>1971</v>
      </c>
      <c r="C21" s="17" t="s">
        <v>2164</v>
      </c>
      <c r="D21" s="17" t="s">
        <v>2030</v>
      </c>
      <c r="E21" s="17" t="s">
        <v>2104</v>
      </c>
      <c r="F21" s="17" t="s">
        <v>2104</v>
      </c>
      <c r="G21" s="17" t="s">
        <v>2165</v>
      </c>
      <c r="H21" s="17" t="s">
        <v>2166</v>
      </c>
      <c r="I21" s="17" t="s">
        <v>1947</v>
      </c>
      <c r="J21" s="17" t="s">
        <v>2032</v>
      </c>
      <c r="K21" s="17" t="s">
        <v>103</v>
      </c>
      <c r="L21" s="17" t="s">
        <v>14</v>
      </c>
    </row>
    <row r="22" customFormat="false" ht="23.85" hidden="false" customHeight="false" outlineLevel="0" collapsed="false">
      <c r="A22" s="18" t="s">
        <v>2167</v>
      </c>
      <c r="B22" s="18" t="s">
        <v>1984</v>
      </c>
      <c r="C22" s="18" t="s">
        <v>2168</v>
      </c>
      <c r="D22" s="18" t="s">
        <v>1944</v>
      </c>
      <c r="E22" s="18" t="s">
        <v>2104</v>
      </c>
      <c r="F22" s="18" t="s">
        <v>2104</v>
      </c>
      <c r="G22" s="18" t="s">
        <v>2169</v>
      </c>
      <c r="H22" s="18" t="s">
        <v>2170</v>
      </c>
      <c r="I22" s="18" t="s">
        <v>2171</v>
      </c>
      <c r="J22" s="18" t="s">
        <v>1897</v>
      </c>
      <c r="K22" s="18" t="s">
        <v>103</v>
      </c>
      <c r="L22" s="18" t="s">
        <v>14</v>
      </c>
    </row>
    <row r="23" customFormat="false" ht="23.85" hidden="false" customHeight="false" outlineLevel="0" collapsed="false">
      <c r="A23" s="17" t="s">
        <v>2172</v>
      </c>
      <c r="B23" s="17" t="s">
        <v>1984</v>
      </c>
      <c r="C23" s="17" t="s">
        <v>2173</v>
      </c>
      <c r="D23" s="17" t="s">
        <v>1944</v>
      </c>
      <c r="E23" s="17" t="s">
        <v>2104</v>
      </c>
      <c r="F23" s="17" t="s">
        <v>2104</v>
      </c>
      <c r="G23" s="17" t="s">
        <v>2174</v>
      </c>
      <c r="H23" s="17" t="s">
        <v>2175</v>
      </c>
      <c r="I23" s="17" t="s">
        <v>1947</v>
      </c>
      <c r="J23" s="17" t="s">
        <v>1897</v>
      </c>
      <c r="K23" s="17" t="s">
        <v>103</v>
      </c>
      <c r="L23" s="17" t="s">
        <v>14</v>
      </c>
    </row>
    <row r="24" customFormat="false" ht="23.85" hidden="false" customHeight="false" outlineLevel="0" collapsed="false">
      <c r="A24" s="18" t="s">
        <v>2176</v>
      </c>
      <c r="B24" s="18" t="s">
        <v>1984</v>
      </c>
      <c r="C24" s="18" t="s">
        <v>2177</v>
      </c>
      <c r="D24" s="18" t="s">
        <v>1944</v>
      </c>
      <c r="E24" s="18" t="s">
        <v>2104</v>
      </c>
      <c r="F24" s="18" t="s">
        <v>2104</v>
      </c>
      <c r="G24" s="18" t="s">
        <v>2178</v>
      </c>
      <c r="H24" s="18" t="s">
        <v>2179</v>
      </c>
      <c r="I24" s="18" t="s">
        <v>1947</v>
      </c>
      <c r="J24" s="18" t="s">
        <v>1897</v>
      </c>
      <c r="K24" s="18" t="s">
        <v>103</v>
      </c>
      <c r="L24" s="18" t="s">
        <v>14</v>
      </c>
    </row>
    <row r="25" customFormat="false" ht="23.85" hidden="false" customHeight="false" outlineLevel="0" collapsed="false">
      <c r="A25" s="17" t="s">
        <v>2180</v>
      </c>
      <c r="B25" s="17" t="s">
        <v>1984</v>
      </c>
      <c r="C25" s="17" t="s">
        <v>2181</v>
      </c>
      <c r="D25" s="17" t="s">
        <v>1944</v>
      </c>
      <c r="E25" s="17" t="s">
        <v>2104</v>
      </c>
      <c r="F25" s="17" t="s">
        <v>2104</v>
      </c>
      <c r="G25" s="17" t="s">
        <v>2178</v>
      </c>
      <c r="H25" s="17" t="s">
        <v>2182</v>
      </c>
      <c r="I25" s="17" t="s">
        <v>2171</v>
      </c>
      <c r="J25" s="17" t="s">
        <v>1897</v>
      </c>
      <c r="K25" s="17" t="s">
        <v>103</v>
      </c>
      <c r="L25" s="17" t="s">
        <v>14</v>
      </c>
    </row>
    <row r="26" customFormat="false" ht="23.85" hidden="false" customHeight="false" outlineLevel="0" collapsed="false">
      <c r="A26" s="18" t="s">
        <v>2183</v>
      </c>
      <c r="B26" s="18" t="s">
        <v>1984</v>
      </c>
      <c r="C26" s="18" t="s">
        <v>2184</v>
      </c>
      <c r="D26" s="18" t="s">
        <v>1944</v>
      </c>
      <c r="E26" s="18" t="s">
        <v>2104</v>
      </c>
      <c r="F26" s="18" t="s">
        <v>2104</v>
      </c>
      <c r="G26" s="18" t="s">
        <v>2178</v>
      </c>
      <c r="H26" s="18" t="s">
        <v>2185</v>
      </c>
      <c r="I26" s="18" t="s">
        <v>1947</v>
      </c>
      <c r="J26" s="18" t="s">
        <v>2186</v>
      </c>
      <c r="K26" s="18" t="s">
        <v>103</v>
      </c>
      <c r="L26" s="18" t="s">
        <v>14</v>
      </c>
    </row>
    <row r="27" customFormat="false" ht="23.85" hidden="false" customHeight="false" outlineLevel="0" collapsed="false">
      <c r="A27" s="17" t="s">
        <v>2187</v>
      </c>
      <c r="B27" s="17" t="s">
        <v>1987</v>
      </c>
      <c r="C27" s="17" t="s">
        <v>2188</v>
      </c>
      <c r="D27" s="17" t="s">
        <v>1944</v>
      </c>
      <c r="E27" s="17" t="s">
        <v>2104</v>
      </c>
      <c r="F27" s="17" t="s">
        <v>2104</v>
      </c>
      <c r="G27" s="17" t="s">
        <v>2105</v>
      </c>
      <c r="H27" s="17" t="s">
        <v>2189</v>
      </c>
      <c r="I27" s="17" t="s">
        <v>1947</v>
      </c>
      <c r="J27" s="17" t="s">
        <v>1989</v>
      </c>
      <c r="K27" s="17" t="s">
        <v>103</v>
      </c>
      <c r="L27" s="17" t="s">
        <v>14</v>
      </c>
    </row>
    <row r="28" customFormat="false" ht="23.85" hidden="false" customHeight="false" outlineLevel="0" collapsed="false">
      <c r="A28" s="18" t="s">
        <v>693</v>
      </c>
      <c r="B28" s="18" t="s">
        <v>1987</v>
      </c>
      <c r="C28" s="18" t="s">
        <v>2190</v>
      </c>
      <c r="D28" s="18" t="s">
        <v>1944</v>
      </c>
      <c r="E28" s="18" t="s">
        <v>2104</v>
      </c>
      <c r="F28" s="18" t="s">
        <v>2104</v>
      </c>
      <c r="G28" s="18" t="s">
        <v>2191</v>
      </c>
      <c r="H28" s="18" t="s">
        <v>2192</v>
      </c>
      <c r="I28" s="18" t="s">
        <v>1947</v>
      </c>
      <c r="J28" s="18" t="s">
        <v>1989</v>
      </c>
      <c r="K28" s="18" t="s">
        <v>103</v>
      </c>
      <c r="L28" s="18" t="s">
        <v>14</v>
      </c>
    </row>
    <row r="29" customFormat="false" ht="23.85" hidden="false" customHeight="false" outlineLevel="0" collapsed="false">
      <c r="A29" s="17" t="s">
        <v>2193</v>
      </c>
      <c r="B29" s="17" t="s">
        <v>1987</v>
      </c>
      <c r="C29" s="17" t="s">
        <v>2194</v>
      </c>
      <c r="D29" s="17" t="s">
        <v>1944</v>
      </c>
      <c r="E29" s="17" t="s">
        <v>2104</v>
      </c>
      <c r="F29" s="17" t="s">
        <v>2104</v>
      </c>
      <c r="G29" s="17" t="s">
        <v>2130</v>
      </c>
      <c r="H29" s="17" t="s">
        <v>2195</v>
      </c>
      <c r="I29" s="17" t="s">
        <v>2196</v>
      </c>
      <c r="J29" s="17" t="s">
        <v>2197</v>
      </c>
      <c r="K29" s="17" t="s">
        <v>103</v>
      </c>
      <c r="L29" s="17" t="s">
        <v>14</v>
      </c>
    </row>
    <row r="30" customFormat="false" ht="23.85" hidden="false" customHeight="false" outlineLevel="0" collapsed="false">
      <c r="A30" s="18" t="s">
        <v>2198</v>
      </c>
      <c r="B30" s="18" t="s">
        <v>1987</v>
      </c>
      <c r="C30" s="18" t="s">
        <v>2199</v>
      </c>
      <c r="D30" s="18" t="s">
        <v>1944</v>
      </c>
      <c r="E30" s="18" t="s">
        <v>2104</v>
      </c>
      <c r="F30" s="18" t="s">
        <v>2129</v>
      </c>
      <c r="G30" s="18" t="s">
        <v>2105</v>
      </c>
      <c r="H30" s="18" t="s">
        <v>2200</v>
      </c>
      <c r="I30" s="18" t="s">
        <v>1947</v>
      </c>
      <c r="J30" s="18" t="s">
        <v>2201</v>
      </c>
      <c r="K30" s="18" t="s">
        <v>103</v>
      </c>
      <c r="L30" s="18" t="s">
        <v>14</v>
      </c>
    </row>
    <row r="31" customFormat="false" ht="23.85" hidden="false" customHeight="false" outlineLevel="0" collapsed="false">
      <c r="A31" s="17" t="s">
        <v>2202</v>
      </c>
      <c r="B31" s="17" t="s">
        <v>1987</v>
      </c>
      <c r="C31" s="17" t="s">
        <v>2203</v>
      </c>
      <c r="D31" s="17" t="s">
        <v>1944</v>
      </c>
      <c r="E31" s="17" t="s">
        <v>2104</v>
      </c>
      <c r="F31" s="17" t="s">
        <v>2104</v>
      </c>
      <c r="G31" s="17" t="s">
        <v>2105</v>
      </c>
      <c r="H31" s="17" t="s">
        <v>2204</v>
      </c>
      <c r="I31" s="17" t="s">
        <v>1947</v>
      </c>
      <c r="J31" s="17" t="s">
        <v>1989</v>
      </c>
      <c r="K31" s="17" t="s">
        <v>103</v>
      </c>
      <c r="L31" s="17" t="s">
        <v>14</v>
      </c>
    </row>
    <row r="32" customFormat="false" ht="23.85" hidden="false" customHeight="false" outlineLevel="0" collapsed="false">
      <c r="A32" s="18" t="s">
        <v>2205</v>
      </c>
      <c r="B32" s="18" t="s">
        <v>1987</v>
      </c>
      <c r="C32" s="18" t="s">
        <v>2206</v>
      </c>
      <c r="D32" s="18" t="s">
        <v>1944</v>
      </c>
      <c r="E32" s="18" t="s">
        <v>2104</v>
      </c>
      <c r="F32" s="18" t="s">
        <v>2104</v>
      </c>
      <c r="G32" s="18" t="s">
        <v>2207</v>
      </c>
      <c r="H32" s="18" t="s">
        <v>2208</v>
      </c>
      <c r="I32" s="18" t="s">
        <v>1947</v>
      </c>
      <c r="J32" s="18" t="s">
        <v>1989</v>
      </c>
      <c r="K32" s="18" t="s">
        <v>103</v>
      </c>
      <c r="L32" s="18" t="s">
        <v>14</v>
      </c>
    </row>
    <row r="33" customFormat="false" ht="23.85" hidden="false" customHeight="false" outlineLevel="0" collapsed="false">
      <c r="A33" s="17" t="s">
        <v>2209</v>
      </c>
      <c r="B33" s="17" t="s">
        <v>1987</v>
      </c>
      <c r="C33" s="17" t="s">
        <v>2210</v>
      </c>
      <c r="D33" s="17" t="s">
        <v>1944</v>
      </c>
      <c r="E33" s="17" t="s">
        <v>2104</v>
      </c>
      <c r="F33" s="17" t="s">
        <v>2104</v>
      </c>
      <c r="G33" s="17" t="s">
        <v>2105</v>
      </c>
      <c r="H33" s="17" t="s">
        <v>2211</v>
      </c>
      <c r="I33" s="17" t="s">
        <v>1947</v>
      </c>
      <c r="J33" s="17" t="s">
        <v>1997</v>
      </c>
      <c r="K33" s="17" t="s">
        <v>103</v>
      </c>
      <c r="L33" s="17" t="s">
        <v>14</v>
      </c>
    </row>
    <row r="34" customFormat="false" ht="23.85" hidden="false" customHeight="false" outlineLevel="0" collapsed="false">
      <c r="A34" s="18" t="s">
        <v>1025</v>
      </c>
      <c r="B34" s="18" t="s">
        <v>1987</v>
      </c>
      <c r="C34" s="18" t="s">
        <v>2212</v>
      </c>
      <c r="D34" s="18" t="s">
        <v>1944</v>
      </c>
      <c r="E34" s="18" t="s">
        <v>2104</v>
      </c>
      <c r="F34" s="18" t="s">
        <v>2104</v>
      </c>
      <c r="G34" s="18" t="s">
        <v>2143</v>
      </c>
      <c r="H34" s="18" t="s">
        <v>2213</v>
      </c>
      <c r="I34" s="18" t="s">
        <v>1947</v>
      </c>
      <c r="J34" s="18" t="s">
        <v>1907</v>
      </c>
      <c r="K34" s="18" t="s">
        <v>103</v>
      </c>
      <c r="L34" s="18" t="s">
        <v>14</v>
      </c>
    </row>
    <row r="35" customFormat="false" ht="23.85" hidden="false" customHeight="false" outlineLevel="0" collapsed="false">
      <c r="A35" s="17" t="s">
        <v>1037</v>
      </c>
      <c r="B35" s="17" t="s">
        <v>1987</v>
      </c>
      <c r="C35" s="17" t="s">
        <v>2214</v>
      </c>
      <c r="D35" s="17" t="s">
        <v>1944</v>
      </c>
      <c r="E35" s="17" t="s">
        <v>2104</v>
      </c>
      <c r="F35" s="17" t="s">
        <v>2104</v>
      </c>
      <c r="G35" s="17" t="s">
        <v>2143</v>
      </c>
      <c r="H35" s="17" t="s">
        <v>2215</v>
      </c>
      <c r="I35" s="17" t="s">
        <v>1947</v>
      </c>
      <c r="J35" s="17" t="s">
        <v>1907</v>
      </c>
      <c r="K35" s="17" t="s">
        <v>103</v>
      </c>
      <c r="L35" s="17" t="s">
        <v>14</v>
      </c>
    </row>
    <row r="36" customFormat="false" ht="23.85" hidden="false" customHeight="false" outlineLevel="0" collapsed="false">
      <c r="A36" s="18" t="s">
        <v>1029</v>
      </c>
      <c r="B36" s="18" t="s">
        <v>1987</v>
      </c>
      <c r="C36" s="18" t="s">
        <v>2216</v>
      </c>
      <c r="D36" s="18" t="s">
        <v>1944</v>
      </c>
      <c r="E36" s="18" t="s">
        <v>2129</v>
      </c>
      <c r="F36" s="18" t="s">
        <v>2104</v>
      </c>
      <c r="G36" s="18" t="s">
        <v>2217</v>
      </c>
      <c r="H36" s="18" t="s">
        <v>2218</v>
      </c>
      <c r="I36" s="18" t="s">
        <v>2219</v>
      </c>
      <c r="J36" s="18" t="s">
        <v>1907</v>
      </c>
      <c r="K36" s="18" t="s">
        <v>103</v>
      </c>
      <c r="L36" s="18" t="s">
        <v>14</v>
      </c>
    </row>
    <row r="37" customFormat="false" ht="23.85" hidden="false" customHeight="false" outlineLevel="0" collapsed="false">
      <c r="A37" s="17" t="s">
        <v>2220</v>
      </c>
      <c r="B37" s="17" t="s">
        <v>1987</v>
      </c>
      <c r="C37" s="17" t="s">
        <v>2221</v>
      </c>
      <c r="D37" s="17" t="s">
        <v>1944</v>
      </c>
      <c r="E37" s="17" t="s">
        <v>2104</v>
      </c>
      <c r="F37" s="17" t="s">
        <v>2104</v>
      </c>
      <c r="G37" s="17" t="s">
        <v>2222</v>
      </c>
      <c r="H37" s="17" t="s">
        <v>2223</v>
      </c>
      <c r="I37" s="17" t="s">
        <v>1947</v>
      </c>
      <c r="J37" s="17" t="s">
        <v>2019</v>
      </c>
      <c r="K37" s="17" t="s">
        <v>103</v>
      </c>
      <c r="L37" s="17" t="s">
        <v>14</v>
      </c>
    </row>
    <row r="38" customFormat="false" ht="23.85" hidden="false" customHeight="false" outlineLevel="0" collapsed="false">
      <c r="A38" s="18" t="s">
        <v>2224</v>
      </c>
      <c r="B38" s="18" t="s">
        <v>1987</v>
      </c>
      <c r="C38" s="18" t="s">
        <v>2225</v>
      </c>
      <c r="D38" s="18" t="s">
        <v>1944</v>
      </c>
      <c r="E38" s="18" t="s">
        <v>2104</v>
      </c>
      <c r="F38" s="18" t="s">
        <v>2104</v>
      </c>
      <c r="G38" s="18" t="s">
        <v>2226</v>
      </c>
      <c r="H38" s="18" t="s">
        <v>2227</v>
      </c>
      <c r="I38" s="18" t="s">
        <v>2196</v>
      </c>
      <c r="J38" s="18" t="s">
        <v>2005</v>
      </c>
      <c r="K38" s="18" t="s">
        <v>103</v>
      </c>
      <c r="L38" s="18" t="s">
        <v>14</v>
      </c>
    </row>
    <row r="39" customFormat="false" ht="23.85" hidden="false" customHeight="false" outlineLevel="0" collapsed="false">
      <c r="A39" s="17" t="s">
        <v>2228</v>
      </c>
      <c r="B39" s="17" t="s">
        <v>2051</v>
      </c>
      <c r="C39" s="17" t="s">
        <v>2229</v>
      </c>
      <c r="D39" s="17" t="s">
        <v>2030</v>
      </c>
      <c r="E39" s="17" t="s">
        <v>2104</v>
      </c>
      <c r="F39" s="17" t="s">
        <v>2104</v>
      </c>
      <c r="G39" s="17" t="s">
        <v>2230</v>
      </c>
      <c r="H39" s="17" t="s">
        <v>2231</v>
      </c>
      <c r="I39" s="17" t="s">
        <v>1947</v>
      </c>
      <c r="J39" s="17" t="s">
        <v>2053</v>
      </c>
      <c r="K39" s="17" t="s">
        <v>103</v>
      </c>
      <c r="L39" s="17" t="s">
        <v>14</v>
      </c>
    </row>
    <row r="40" customFormat="false" ht="23.85" hidden="false" customHeight="false" outlineLevel="0" collapsed="false">
      <c r="A40" s="18" t="s">
        <v>2232</v>
      </c>
      <c r="B40" s="18" t="s">
        <v>2051</v>
      </c>
      <c r="C40" s="18" t="s">
        <v>2233</v>
      </c>
      <c r="D40" s="18" t="s">
        <v>2030</v>
      </c>
      <c r="E40" s="18" t="s">
        <v>2104</v>
      </c>
      <c r="F40" s="18" t="s">
        <v>2104</v>
      </c>
      <c r="G40" s="18" t="s">
        <v>2105</v>
      </c>
      <c r="H40" s="18" t="s">
        <v>2234</v>
      </c>
      <c r="I40" s="18" t="s">
        <v>1947</v>
      </c>
      <c r="J40" s="18" t="s">
        <v>2053</v>
      </c>
      <c r="K40" s="18" t="s">
        <v>103</v>
      </c>
      <c r="L40" s="18" t="s">
        <v>14</v>
      </c>
    </row>
    <row r="41" customFormat="false" ht="23.85" hidden="false" customHeight="false" outlineLevel="0" collapsed="false">
      <c r="A41" s="17" t="s">
        <v>2235</v>
      </c>
      <c r="B41" s="17" t="s">
        <v>2051</v>
      </c>
      <c r="C41" s="17" t="s">
        <v>2236</v>
      </c>
      <c r="D41" s="17" t="s">
        <v>2030</v>
      </c>
      <c r="E41" s="17" t="s">
        <v>2104</v>
      </c>
      <c r="F41" s="17" t="s">
        <v>2104</v>
      </c>
      <c r="G41" s="17" t="s">
        <v>2143</v>
      </c>
      <c r="H41" s="17" t="s">
        <v>2237</v>
      </c>
      <c r="I41" s="17" t="s">
        <v>1947</v>
      </c>
      <c r="J41" s="17" t="s">
        <v>2053</v>
      </c>
      <c r="K41" s="17" t="s">
        <v>103</v>
      </c>
      <c r="L41" s="17" t="s">
        <v>14</v>
      </c>
    </row>
    <row r="42" customFormat="false" ht="23.85" hidden="false" customHeight="false" outlineLevel="0" collapsed="false">
      <c r="A42" s="18" t="s">
        <v>2238</v>
      </c>
      <c r="B42" s="18" t="s">
        <v>2047</v>
      </c>
      <c r="C42" s="18" t="s">
        <v>2239</v>
      </c>
      <c r="D42" s="18" t="s">
        <v>2030</v>
      </c>
      <c r="E42" s="18" t="s">
        <v>2104</v>
      </c>
      <c r="F42" s="18" t="s">
        <v>2104</v>
      </c>
      <c r="G42" s="18" t="s">
        <v>2240</v>
      </c>
      <c r="H42" s="18" t="s">
        <v>2241</v>
      </c>
      <c r="I42" s="18" t="s">
        <v>1947</v>
      </c>
      <c r="J42" s="18" t="s">
        <v>2045</v>
      </c>
      <c r="K42" s="18" t="s">
        <v>103</v>
      </c>
      <c r="L42" s="18" t="s">
        <v>14</v>
      </c>
    </row>
    <row r="43" customFormat="false" ht="23.85" hidden="false" customHeight="false" outlineLevel="0" collapsed="false">
      <c r="A43" s="17" t="s">
        <v>2242</v>
      </c>
      <c r="B43" s="17" t="s">
        <v>2047</v>
      </c>
      <c r="C43" s="17" t="s">
        <v>2243</v>
      </c>
      <c r="D43" s="17" t="s">
        <v>2030</v>
      </c>
      <c r="E43" s="17" t="s">
        <v>2104</v>
      </c>
      <c r="F43" s="17" t="s">
        <v>2104</v>
      </c>
      <c r="G43" s="17" t="s">
        <v>2244</v>
      </c>
      <c r="H43" s="17" t="s">
        <v>2245</v>
      </c>
      <c r="I43" s="17" t="s">
        <v>1947</v>
      </c>
      <c r="J43" s="17" t="s">
        <v>2045</v>
      </c>
      <c r="K43" s="17" t="s">
        <v>103</v>
      </c>
      <c r="L43" s="17" t="s">
        <v>14</v>
      </c>
    </row>
    <row r="44" customFormat="false" ht="23.85" hidden="false" customHeight="false" outlineLevel="0" collapsed="false">
      <c r="A44" s="18" t="s">
        <v>2246</v>
      </c>
      <c r="B44" s="18" t="s">
        <v>2047</v>
      </c>
      <c r="C44" s="18" t="s">
        <v>2247</v>
      </c>
      <c r="D44" s="18" t="s">
        <v>2030</v>
      </c>
      <c r="E44" s="18" t="s">
        <v>2104</v>
      </c>
      <c r="F44" s="18" t="s">
        <v>2104</v>
      </c>
      <c r="G44" s="18" t="s">
        <v>2248</v>
      </c>
      <c r="H44" s="18" t="s">
        <v>2249</v>
      </c>
      <c r="I44" s="18" t="s">
        <v>2196</v>
      </c>
      <c r="J44" s="18" t="s">
        <v>2045</v>
      </c>
      <c r="K44" s="18" t="s">
        <v>103</v>
      </c>
      <c r="L44" s="18" t="s">
        <v>14</v>
      </c>
    </row>
    <row r="45" customFormat="false" ht="23.85" hidden="false" customHeight="false" outlineLevel="0" collapsed="false">
      <c r="A45" s="17" t="s">
        <v>1148</v>
      </c>
      <c r="B45" s="17" t="s">
        <v>2015</v>
      </c>
      <c r="C45" s="17" t="s">
        <v>2250</v>
      </c>
      <c r="D45" s="17" t="s">
        <v>1944</v>
      </c>
      <c r="E45" s="17" t="s">
        <v>2104</v>
      </c>
      <c r="F45" s="17" t="s">
        <v>2104</v>
      </c>
      <c r="G45" s="17" t="s">
        <v>2251</v>
      </c>
      <c r="H45" s="17" t="s">
        <v>2252</v>
      </c>
      <c r="I45" s="17" t="s">
        <v>1947</v>
      </c>
      <c r="J45" s="17" t="s">
        <v>2253</v>
      </c>
      <c r="K45" s="17" t="s">
        <v>103</v>
      </c>
      <c r="L45" s="17" t="s">
        <v>14</v>
      </c>
    </row>
    <row r="46" customFormat="false" ht="23.85" hidden="false" customHeight="false" outlineLevel="0" collapsed="false">
      <c r="A46" s="18" t="s">
        <v>1155</v>
      </c>
      <c r="B46" s="18" t="s">
        <v>2015</v>
      </c>
      <c r="C46" s="18" t="s">
        <v>2254</v>
      </c>
      <c r="D46" s="18" t="s">
        <v>1944</v>
      </c>
      <c r="E46" s="18" t="s">
        <v>2129</v>
      </c>
      <c r="F46" s="18" t="s">
        <v>2104</v>
      </c>
      <c r="G46" s="18" t="s">
        <v>2255</v>
      </c>
      <c r="H46" s="18" t="s">
        <v>2218</v>
      </c>
      <c r="I46" s="18" t="s">
        <v>1947</v>
      </c>
      <c r="J46" s="18" t="s">
        <v>2005</v>
      </c>
      <c r="K46" s="18" t="s">
        <v>103</v>
      </c>
      <c r="L46" s="18" t="s">
        <v>14</v>
      </c>
    </row>
    <row r="47" customFormat="false" ht="23.85" hidden="false" customHeight="false" outlineLevel="0" collapsed="false">
      <c r="A47" s="17" t="s">
        <v>2256</v>
      </c>
      <c r="B47" s="17" t="s">
        <v>2015</v>
      </c>
      <c r="C47" s="17" t="s">
        <v>2257</v>
      </c>
      <c r="D47" s="17" t="s">
        <v>1944</v>
      </c>
      <c r="E47" s="17" t="s">
        <v>2104</v>
      </c>
      <c r="F47" s="17" t="s">
        <v>2104</v>
      </c>
      <c r="G47" s="17" t="s">
        <v>2258</v>
      </c>
      <c r="H47" s="17" t="s">
        <v>2259</v>
      </c>
      <c r="I47" s="17" t="s">
        <v>1947</v>
      </c>
      <c r="J47" s="17" t="s">
        <v>2005</v>
      </c>
      <c r="K47" s="17" t="s">
        <v>103</v>
      </c>
      <c r="L47" s="17" t="s">
        <v>14</v>
      </c>
    </row>
    <row r="48" customFormat="false" ht="23.85" hidden="false" customHeight="false" outlineLevel="0" collapsed="false">
      <c r="A48" s="18" t="s">
        <v>2260</v>
      </c>
      <c r="B48" s="18" t="s">
        <v>2015</v>
      </c>
      <c r="C48" s="18" t="s">
        <v>2261</v>
      </c>
      <c r="D48" s="18" t="s">
        <v>1944</v>
      </c>
      <c r="E48" s="18" t="s">
        <v>2104</v>
      </c>
      <c r="F48" s="18" t="s">
        <v>2104</v>
      </c>
      <c r="G48" s="18" t="s">
        <v>2262</v>
      </c>
      <c r="H48" s="18" t="s">
        <v>2263</v>
      </c>
      <c r="I48" s="18" t="s">
        <v>1947</v>
      </c>
      <c r="J48" s="18" t="s">
        <v>2005</v>
      </c>
      <c r="K48" s="18" t="s">
        <v>103</v>
      </c>
      <c r="L48" s="18" t="s">
        <v>14</v>
      </c>
    </row>
    <row r="49" customFormat="false" ht="23.85" hidden="false" customHeight="false" outlineLevel="0" collapsed="false">
      <c r="A49" s="17" t="s">
        <v>2264</v>
      </c>
      <c r="B49" s="17" t="s">
        <v>2015</v>
      </c>
      <c r="C49" s="17" t="s">
        <v>2265</v>
      </c>
      <c r="D49" s="17" t="s">
        <v>1944</v>
      </c>
      <c r="E49" s="17" t="s">
        <v>2104</v>
      </c>
      <c r="F49" s="17" t="s">
        <v>2104</v>
      </c>
      <c r="G49" s="17" t="s">
        <v>2178</v>
      </c>
      <c r="H49" s="17" t="s">
        <v>2266</v>
      </c>
      <c r="I49" s="17" t="s">
        <v>1947</v>
      </c>
      <c r="J49" s="17" t="s">
        <v>1900</v>
      </c>
      <c r="K49" s="17" t="s">
        <v>103</v>
      </c>
      <c r="L49" s="17" t="s">
        <v>14</v>
      </c>
    </row>
    <row r="50" customFormat="false" ht="23.85" hidden="false" customHeight="false" outlineLevel="0" collapsed="false">
      <c r="A50" s="18" t="s">
        <v>1127</v>
      </c>
      <c r="B50" s="18" t="s">
        <v>2015</v>
      </c>
      <c r="C50" s="18" t="s">
        <v>2267</v>
      </c>
      <c r="D50" s="18" t="s">
        <v>1944</v>
      </c>
      <c r="E50" s="18" t="s">
        <v>2104</v>
      </c>
      <c r="F50" s="18" t="s">
        <v>2104</v>
      </c>
      <c r="G50" s="18" t="s">
        <v>2268</v>
      </c>
      <c r="H50" s="18" t="s">
        <v>2269</v>
      </c>
      <c r="I50" s="18" t="s">
        <v>1947</v>
      </c>
      <c r="J50" s="18" t="s">
        <v>1900</v>
      </c>
      <c r="K50" s="18" t="s">
        <v>103</v>
      </c>
      <c r="L50" s="18" t="s">
        <v>14</v>
      </c>
    </row>
    <row r="51" customFormat="false" ht="23.85" hidden="false" customHeight="false" outlineLevel="0" collapsed="false">
      <c r="A51" s="17" t="s">
        <v>1139</v>
      </c>
      <c r="B51" s="17" t="s">
        <v>2015</v>
      </c>
      <c r="C51" s="17" t="s">
        <v>2270</v>
      </c>
      <c r="D51" s="17" t="s">
        <v>1944</v>
      </c>
      <c r="E51" s="17" t="s">
        <v>2104</v>
      </c>
      <c r="F51" s="17" t="s">
        <v>2104</v>
      </c>
      <c r="G51" s="17" t="s">
        <v>2271</v>
      </c>
      <c r="H51" s="17" t="s">
        <v>2272</v>
      </c>
      <c r="I51" s="17" t="s">
        <v>1947</v>
      </c>
      <c r="J51" s="17" t="s">
        <v>1900</v>
      </c>
      <c r="K51" s="17" t="s">
        <v>103</v>
      </c>
      <c r="L51" s="17" t="s">
        <v>14</v>
      </c>
    </row>
    <row r="52" customFormat="false" ht="23.85" hidden="false" customHeight="false" outlineLevel="0" collapsed="false">
      <c r="A52" s="18" t="s">
        <v>2273</v>
      </c>
      <c r="B52" s="18" t="s">
        <v>1962</v>
      </c>
      <c r="C52" s="18" t="s">
        <v>2274</v>
      </c>
      <c r="D52" s="18" t="s">
        <v>2275</v>
      </c>
      <c r="E52" s="18" t="s">
        <v>2104</v>
      </c>
      <c r="F52" s="18" t="s">
        <v>2104</v>
      </c>
      <c r="G52" s="18" t="s">
        <v>2276</v>
      </c>
      <c r="H52" s="18" t="s">
        <v>2277</v>
      </c>
      <c r="I52" s="18" t="s">
        <v>1947</v>
      </c>
      <c r="J52" s="18" t="s">
        <v>1964</v>
      </c>
      <c r="K52" s="18" t="s">
        <v>103</v>
      </c>
      <c r="L52" s="18" t="s">
        <v>14</v>
      </c>
    </row>
    <row r="53" customFormat="false" ht="23.85" hidden="false" customHeight="false" outlineLevel="0" collapsed="false">
      <c r="A53" s="17" t="s">
        <v>1238</v>
      </c>
      <c r="B53" s="17" t="s">
        <v>1962</v>
      </c>
      <c r="C53" s="17" t="s">
        <v>2278</v>
      </c>
      <c r="D53" s="17" t="s">
        <v>1944</v>
      </c>
      <c r="E53" s="17" t="s">
        <v>2104</v>
      </c>
      <c r="F53" s="17" t="s">
        <v>2104</v>
      </c>
      <c r="G53" s="17" t="s">
        <v>2279</v>
      </c>
      <c r="H53" s="17" t="s">
        <v>2277</v>
      </c>
      <c r="I53" s="17" t="s">
        <v>1947</v>
      </c>
      <c r="J53" s="17" t="s">
        <v>1964</v>
      </c>
      <c r="K53" s="17" t="s">
        <v>103</v>
      </c>
      <c r="L53" s="17" t="s">
        <v>14</v>
      </c>
    </row>
    <row r="54" customFormat="false" ht="23.85" hidden="false" customHeight="false" outlineLevel="0" collapsed="false">
      <c r="A54" s="18" t="s">
        <v>1255</v>
      </c>
      <c r="B54" s="18" t="s">
        <v>1962</v>
      </c>
      <c r="C54" s="18" t="s">
        <v>2280</v>
      </c>
      <c r="D54" s="18" t="s">
        <v>1944</v>
      </c>
      <c r="E54" s="18" t="s">
        <v>2104</v>
      </c>
      <c r="F54" s="18" t="s">
        <v>2129</v>
      </c>
      <c r="G54" s="18" t="s">
        <v>2105</v>
      </c>
      <c r="H54" s="18" t="s">
        <v>2277</v>
      </c>
      <c r="I54" s="18" t="s">
        <v>1947</v>
      </c>
      <c r="J54" s="18" t="s">
        <v>1964</v>
      </c>
      <c r="K54" s="18" t="s">
        <v>103</v>
      </c>
      <c r="L54" s="18" t="s">
        <v>14</v>
      </c>
    </row>
    <row r="55" customFormat="false" ht="23.85" hidden="false" customHeight="false" outlineLevel="0" collapsed="false">
      <c r="A55" s="17" t="s">
        <v>1272</v>
      </c>
      <c r="B55" s="17" t="s">
        <v>1962</v>
      </c>
      <c r="C55" s="17" t="s">
        <v>2281</v>
      </c>
      <c r="D55" s="17" t="s">
        <v>1944</v>
      </c>
      <c r="E55" s="17" t="s">
        <v>2129</v>
      </c>
      <c r="F55" s="17" t="s">
        <v>2104</v>
      </c>
      <c r="G55" s="17" t="s">
        <v>2114</v>
      </c>
      <c r="H55" s="17" t="s">
        <v>2282</v>
      </c>
      <c r="I55" s="17" t="s">
        <v>1947</v>
      </c>
      <c r="J55" s="17" t="s">
        <v>1964</v>
      </c>
      <c r="K55" s="17" t="s">
        <v>103</v>
      </c>
      <c r="L55" s="17" t="s">
        <v>14</v>
      </c>
    </row>
    <row r="56" customFormat="false" ht="23.85" hidden="false" customHeight="false" outlineLevel="0" collapsed="false">
      <c r="A56" s="18" t="s">
        <v>2283</v>
      </c>
      <c r="B56" s="18" t="s">
        <v>1962</v>
      </c>
      <c r="C56" s="18" t="s">
        <v>2284</v>
      </c>
      <c r="D56" s="18" t="s">
        <v>2030</v>
      </c>
      <c r="E56" s="18" t="s">
        <v>2104</v>
      </c>
      <c r="F56" s="18" t="s">
        <v>2104</v>
      </c>
      <c r="G56" s="18" t="s">
        <v>2276</v>
      </c>
      <c r="H56" s="18" t="s">
        <v>2285</v>
      </c>
      <c r="I56" s="18" t="s">
        <v>1947</v>
      </c>
      <c r="J56" s="18" t="s">
        <v>2040</v>
      </c>
      <c r="K56" s="18" t="s">
        <v>103</v>
      </c>
      <c r="L56" s="18" t="s">
        <v>14</v>
      </c>
    </row>
    <row r="57" customFormat="false" ht="23.85" hidden="false" customHeight="false" outlineLevel="0" collapsed="false">
      <c r="A57" s="17" t="s">
        <v>2286</v>
      </c>
      <c r="B57" s="17" t="s">
        <v>2018</v>
      </c>
      <c r="C57" s="17" t="s">
        <v>2287</v>
      </c>
      <c r="D57" s="17" t="s">
        <v>1944</v>
      </c>
      <c r="E57" s="17" t="s">
        <v>2104</v>
      </c>
      <c r="F57" s="17" t="s">
        <v>2104</v>
      </c>
      <c r="G57" s="17" t="s">
        <v>2288</v>
      </c>
      <c r="H57" s="17" t="s">
        <v>2289</v>
      </c>
      <c r="I57" s="17" t="s">
        <v>2018</v>
      </c>
      <c r="J57" s="17" t="s">
        <v>2019</v>
      </c>
      <c r="K57" s="17" t="s">
        <v>103</v>
      </c>
      <c r="L57" s="17" t="s">
        <v>14</v>
      </c>
    </row>
    <row r="58" customFormat="false" ht="23.85" hidden="false" customHeight="false" outlineLevel="0" collapsed="false">
      <c r="A58" s="18" t="s">
        <v>2290</v>
      </c>
      <c r="B58" s="18" t="s">
        <v>2018</v>
      </c>
      <c r="C58" s="18" t="s">
        <v>2291</v>
      </c>
      <c r="D58" s="18" t="s">
        <v>1944</v>
      </c>
      <c r="E58" s="18" t="s">
        <v>2104</v>
      </c>
      <c r="F58" s="18" t="s">
        <v>2104</v>
      </c>
      <c r="G58" s="18" t="s">
        <v>2222</v>
      </c>
      <c r="H58" s="18" t="s">
        <v>2292</v>
      </c>
      <c r="I58" s="18" t="s">
        <v>2018</v>
      </c>
      <c r="J58" s="18" t="s">
        <v>2019</v>
      </c>
      <c r="K58" s="18" t="s">
        <v>103</v>
      </c>
      <c r="L58" s="18" t="s">
        <v>14</v>
      </c>
    </row>
    <row r="59" customFormat="false" ht="23.85" hidden="false" customHeight="false" outlineLevel="0" collapsed="false">
      <c r="A59" s="17" t="s">
        <v>1346</v>
      </c>
      <c r="B59" s="17" t="s">
        <v>2018</v>
      </c>
      <c r="C59" s="17" t="s">
        <v>2293</v>
      </c>
      <c r="D59" s="17" t="s">
        <v>1944</v>
      </c>
      <c r="E59" s="17" t="s">
        <v>2104</v>
      </c>
      <c r="F59" s="17" t="s">
        <v>2104</v>
      </c>
      <c r="G59" s="17" t="s">
        <v>1947</v>
      </c>
      <c r="H59" s="17" t="s">
        <v>1947</v>
      </c>
      <c r="I59" s="17" t="s">
        <v>2294</v>
      </c>
      <c r="J59" s="17" t="s">
        <v>2019</v>
      </c>
      <c r="K59" s="17" t="s">
        <v>103</v>
      </c>
      <c r="L59" s="17" t="s">
        <v>14</v>
      </c>
    </row>
    <row r="60" customFormat="false" ht="23.85" hidden="false" customHeight="false" outlineLevel="0" collapsed="false">
      <c r="A60" s="18" t="s">
        <v>1362</v>
      </c>
      <c r="B60" s="18" t="s">
        <v>2018</v>
      </c>
      <c r="C60" s="18" t="s">
        <v>2295</v>
      </c>
      <c r="D60" s="18" t="s">
        <v>1944</v>
      </c>
      <c r="E60" s="18" t="s">
        <v>2104</v>
      </c>
      <c r="F60" s="18" t="s">
        <v>2129</v>
      </c>
      <c r="G60" s="18" t="s">
        <v>1947</v>
      </c>
      <c r="H60" s="18" t="s">
        <v>2296</v>
      </c>
      <c r="I60" s="18" t="s">
        <v>2018</v>
      </c>
      <c r="J60" s="18" t="s">
        <v>2023</v>
      </c>
      <c r="K60" s="18" t="s">
        <v>103</v>
      </c>
      <c r="L60" s="18" t="s">
        <v>14</v>
      </c>
    </row>
    <row r="61" customFormat="false" ht="23.85" hidden="false" customHeight="false" outlineLevel="0" collapsed="false">
      <c r="A61" s="17" t="s">
        <v>2297</v>
      </c>
      <c r="B61" s="17" t="s">
        <v>2298</v>
      </c>
      <c r="C61" s="17" t="s">
        <v>2299</v>
      </c>
      <c r="D61" s="17" t="s">
        <v>1944</v>
      </c>
      <c r="E61" s="17" t="s">
        <v>2129</v>
      </c>
      <c r="F61" s="17" t="s">
        <v>2104</v>
      </c>
      <c r="G61" s="17" t="s">
        <v>2300</v>
      </c>
      <c r="H61" s="17" t="s">
        <v>2218</v>
      </c>
      <c r="I61" s="17" t="s">
        <v>2301</v>
      </c>
      <c r="J61" s="17" t="s">
        <v>1907</v>
      </c>
      <c r="K61" s="17" t="s">
        <v>103</v>
      </c>
      <c r="L61" s="17" t="s">
        <v>14</v>
      </c>
    </row>
    <row r="62" customFormat="false" ht="23.85" hidden="false" customHeight="false" outlineLevel="0" collapsed="false">
      <c r="A62" s="18" t="s">
        <v>2302</v>
      </c>
      <c r="B62" s="18" t="s">
        <v>2298</v>
      </c>
      <c r="C62" s="18" t="s">
        <v>2303</v>
      </c>
      <c r="D62" s="18" t="s">
        <v>1944</v>
      </c>
      <c r="E62" s="18" t="s">
        <v>2129</v>
      </c>
      <c r="F62" s="18" t="s">
        <v>2104</v>
      </c>
      <c r="G62" s="18" t="s">
        <v>2300</v>
      </c>
      <c r="H62" s="18" t="s">
        <v>2218</v>
      </c>
      <c r="I62" s="18" t="s">
        <v>2171</v>
      </c>
      <c r="J62" s="18" t="s">
        <v>1976</v>
      </c>
      <c r="K62" s="18" t="s">
        <v>103</v>
      </c>
      <c r="L62" s="18" t="s">
        <v>14</v>
      </c>
    </row>
    <row r="63" customFormat="false" ht="23.85" hidden="false" customHeight="false" outlineLevel="0" collapsed="false">
      <c r="A63" s="17" t="s">
        <v>2304</v>
      </c>
      <c r="B63" s="17" t="s">
        <v>2298</v>
      </c>
      <c r="C63" s="17" t="s">
        <v>2305</v>
      </c>
      <c r="D63" s="17" t="s">
        <v>2030</v>
      </c>
      <c r="E63" s="17" t="s">
        <v>2104</v>
      </c>
      <c r="F63" s="17" t="s">
        <v>2104</v>
      </c>
      <c r="G63" s="17" t="s">
        <v>2300</v>
      </c>
      <c r="H63" s="17" t="s">
        <v>2218</v>
      </c>
      <c r="I63" s="17" t="s">
        <v>2306</v>
      </c>
      <c r="J63" s="17" t="s">
        <v>2063</v>
      </c>
      <c r="K63" s="17" t="s">
        <v>103</v>
      </c>
      <c r="L63" s="17" t="s">
        <v>14</v>
      </c>
    </row>
    <row r="64" customFormat="false" ht="23.85" hidden="false" customHeight="false" outlineLevel="0" collapsed="false">
      <c r="A64" s="18" t="s">
        <v>1095</v>
      </c>
      <c r="B64" s="18" t="s">
        <v>2298</v>
      </c>
      <c r="C64" s="18" t="s">
        <v>2307</v>
      </c>
      <c r="D64" s="18" t="s">
        <v>1944</v>
      </c>
      <c r="E64" s="18" t="s">
        <v>2104</v>
      </c>
      <c r="F64" s="18" t="s">
        <v>2104</v>
      </c>
      <c r="G64" s="18" t="s">
        <v>2178</v>
      </c>
      <c r="H64" s="18" t="s">
        <v>2308</v>
      </c>
      <c r="I64" s="18" t="s">
        <v>1947</v>
      </c>
      <c r="J64" s="18" t="s">
        <v>1997</v>
      </c>
      <c r="K64" s="18" t="s">
        <v>103</v>
      </c>
      <c r="L64" s="18" t="s">
        <v>14</v>
      </c>
    </row>
    <row r="65" customFormat="false" ht="23.85" hidden="false" customHeight="false" outlineLevel="0" collapsed="false">
      <c r="A65" s="17" t="s">
        <v>2309</v>
      </c>
      <c r="B65" s="17" t="s">
        <v>2000</v>
      </c>
      <c r="C65" s="17" t="s">
        <v>2310</v>
      </c>
      <c r="D65" s="17" t="s">
        <v>1944</v>
      </c>
      <c r="E65" s="17" t="s">
        <v>2104</v>
      </c>
      <c r="F65" s="17" t="s">
        <v>2104</v>
      </c>
      <c r="G65" s="17" t="s">
        <v>2311</v>
      </c>
      <c r="H65" s="17" t="s">
        <v>2208</v>
      </c>
      <c r="I65" s="17" t="s">
        <v>1947</v>
      </c>
      <c r="J65" s="17" t="s">
        <v>1989</v>
      </c>
      <c r="K65" s="17" t="s">
        <v>103</v>
      </c>
      <c r="L65" s="17" t="s">
        <v>14</v>
      </c>
    </row>
    <row r="66" customFormat="false" ht="23.85" hidden="false" customHeight="false" outlineLevel="0" collapsed="false">
      <c r="A66" s="18" t="s">
        <v>2312</v>
      </c>
      <c r="B66" s="18" t="s">
        <v>2000</v>
      </c>
      <c r="C66" s="18" t="s">
        <v>2313</v>
      </c>
      <c r="D66" s="18" t="s">
        <v>2030</v>
      </c>
      <c r="E66" s="18" t="s">
        <v>2104</v>
      </c>
      <c r="F66" s="18" t="s">
        <v>2104</v>
      </c>
      <c r="G66" s="18" t="s">
        <v>2314</v>
      </c>
      <c r="H66" s="18" t="s">
        <v>2315</v>
      </c>
      <c r="I66" s="18" t="s">
        <v>2316</v>
      </c>
      <c r="J66" s="18" t="s">
        <v>2057</v>
      </c>
      <c r="K66" s="18" t="s">
        <v>103</v>
      </c>
      <c r="L66" s="18" t="s">
        <v>14</v>
      </c>
    </row>
    <row r="67" customFormat="false" ht="23.85" hidden="false" customHeight="false" outlineLevel="0" collapsed="false">
      <c r="A67" s="17" t="s">
        <v>2317</v>
      </c>
      <c r="B67" s="17" t="s">
        <v>2000</v>
      </c>
      <c r="C67" s="17" t="s">
        <v>2318</v>
      </c>
      <c r="D67" s="17" t="s">
        <v>2030</v>
      </c>
      <c r="E67" s="17" t="s">
        <v>2104</v>
      </c>
      <c r="F67" s="17" t="s">
        <v>2104</v>
      </c>
      <c r="G67" s="17" t="s">
        <v>2319</v>
      </c>
      <c r="H67" s="17" t="s">
        <v>2320</v>
      </c>
      <c r="I67" s="17" t="s">
        <v>2316</v>
      </c>
      <c r="J67" s="17" t="s">
        <v>2057</v>
      </c>
      <c r="K67" s="17" t="s">
        <v>103</v>
      </c>
      <c r="L67" s="17" t="s">
        <v>14</v>
      </c>
    </row>
    <row r="68" customFormat="false" ht="23.85" hidden="false" customHeight="false" outlineLevel="0" collapsed="false">
      <c r="A68" s="18" t="s">
        <v>2321</v>
      </c>
      <c r="B68" s="18" t="s">
        <v>2000</v>
      </c>
      <c r="C68" s="18" t="s">
        <v>2322</v>
      </c>
      <c r="D68" s="18" t="s">
        <v>2030</v>
      </c>
      <c r="E68" s="18" t="s">
        <v>2104</v>
      </c>
      <c r="F68" s="18" t="s">
        <v>2104</v>
      </c>
      <c r="G68" s="18" t="s">
        <v>2323</v>
      </c>
      <c r="H68" s="18" t="s">
        <v>2324</v>
      </c>
      <c r="I68" s="18" t="s">
        <v>2316</v>
      </c>
      <c r="J68" s="18" t="s">
        <v>2057</v>
      </c>
      <c r="K68" s="18" t="s">
        <v>103</v>
      </c>
      <c r="L68" s="18" t="s">
        <v>14</v>
      </c>
    </row>
    <row r="69" customFormat="false" ht="23.85" hidden="false" customHeight="false" outlineLevel="0" collapsed="false">
      <c r="A69" s="17" t="s">
        <v>2325</v>
      </c>
      <c r="B69" s="17" t="s">
        <v>2027</v>
      </c>
      <c r="C69" s="17" t="s">
        <v>2326</v>
      </c>
      <c r="D69" s="17" t="s">
        <v>1944</v>
      </c>
      <c r="E69" s="17" t="s">
        <v>2104</v>
      </c>
      <c r="F69" s="17" t="s">
        <v>2129</v>
      </c>
      <c r="G69" s="17" t="s">
        <v>1947</v>
      </c>
      <c r="H69" s="17" t="s">
        <v>2327</v>
      </c>
      <c r="I69" s="17" t="s">
        <v>1947</v>
      </c>
      <c r="J69" s="17" t="s">
        <v>1925</v>
      </c>
      <c r="K69" s="17" t="s">
        <v>103</v>
      </c>
      <c r="L69" s="17" t="s">
        <v>14</v>
      </c>
    </row>
    <row r="70" customFormat="false" ht="23.85" hidden="false" customHeight="false" outlineLevel="0" collapsed="false">
      <c r="A70" s="18" t="s">
        <v>2328</v>
      </c>
      <c r="B70" s="18" t="s">
        <v>2027</v>
      </c>
      <c r="C70" s="18" t="s">
        <v>2329</v>
      </c>
      <c r="D70" s="18" t="s">
        <v>2275</v>
      </c>
      <c r="E70" s="18" t="s">
        <v>2104</v>
      </c>
      <c r="F70" s="18" t="s">
        <v>2129</v>
      </c>
      <c r="G70" s="18" t="s">
        <v>1947</v>
      </c>
      <c r="H70" s="18" t="s">
        <v>2327</v>
      </c>
      <c r="I70" s="18" t="s">
        <v>1947</v>
      </c>
      <c r="J70" s="18" t="s">
        <v>1925</v>
      </c>
      <c r="K70" s="18" t="s">
        <v>103</v>
      </c>
      <c r="L70" s="18" t="s">
        <v>14</v>
      </c>
    </row>
    <row r="71" customFormat="false" ht="23.85" hidden="false" customHeight="false" outlineLevel="0" collapsed="false">
      <c r="A71" s="17" t="s">
        <v>2330</v>
      </c>
      <c r="B71" s="17" t="s">
        <v>2027</v>
      </c>
      <c r="C71" s="17" t="s">
        <v>2331</v>
      </c>
      <c r="D71" s="17" t="s">
        <v>2030</v>
      </c>
      <c r="E71" s="17" t="s">
        <v>2104</v>
      </c>
      <c r="F71" s="17" t="s">
        <v>2104</v>
      </c>
      <c r="G71" s="17" t="s">
        <v>106</v>
      </c>
      <c r="H71" s="17" t="s">
        <v>2332</v>
      </c>
      <c r="I71" s="17" t="s">
        <v>1947</v>
      </c>
      <c r="J71" s="17" t="s">
        <v>2040</v>
      </c>
      <c r="K71" s="17" t="s">
        <v>103</v>
      </c>
      <c r="L71" s="17" t="s">
        <v>14</v>
      </c>
    </row>
    <row r="72" customFormat="false" ht="23.85" hidden="false" customHeight="false" outlineLevel="0" collapsed="false">
      <c r="A72" s="18" t="s">
        <v>2333</v>
      </c>
      <c r="B72" s="18" t="s">
        <v>2027</v>
      </c>
      <c r="C72" s="18" t="s">
        <v>2334</v>
      </c>
      <c r="D72" s="18" t="s">
        <v>2030</v>
      </c>
      <c r="E72" s="18" t="s">
        <v>2104</v>
      </c>
      <c r="F72" s="18" t="s">
        <v>2104</v>
      </c>
      <c r="G72" s="18" t="s">
        <v>2335</v>
      </c>
      <c r="H72" s="18" t="s">
        <v>2336</v>
      </c>
      <c r="I72" s="18" t="s">
        <v>1947</v>
      </c>
      <c r="J72" s="18" t="s">
        <v>2040</v>
      </c>
      <c r="K72" s="18" t="s">
        <v>103</v>
      </c>
      <c r="L72" s="18" t="s">
        <v>14</v>
      </c>
    </row>
    <row r="73" customFormat="false" ht="23.85" hidden="false" customHeight="false" outlineLevel="0" collapsed="false">
      <c r="A73" s="17" t="s">
        <v>2337</v>
      </c>
      <c r="B73" s="17" t="s">
        <v>2027</v>
      </c>
      <c r="C73" s="17" t="s">
        <v>2338</v>
      </c>
      <c r="D73" s="17" t="s">
        <v>2030</v>
      </c>
      <c r="E73" s="17" t="s">
        <v>2104</v>
      </c>
      <c r="F73" s="17" t="s">
        <v>2129</v>
      </c>
      <c r="G73" s="17" t="s">
        <v>1947</v>
      </c>
      <c r="H73" s="17" t="s">
        <v>2339</v>
      </c>
      <c r="I73" s="17" t="s">
        <v>1947</v>
      </c>
      <c r="J73" s="17" t="s">
        <v>2066</v>
      </c>
      <c r="K73" s="17" t="s">
        <v>103</v>
      </c>
      <c r="L73" s="17" t="s">
        <v>14</v>
      </c>
    </row>
  </sheetData>
  <autoFilter ref="A4:L73"/>
  <mergeCells count="2">
    <mergeCell ref="A1:J1"/>
    <mergeCell ref="A2:L2"/>
  </mergeCells>
  <conditionalFormatting sqref="D5:D73">
    <cfRule type="expression" priority="2" aboveAverage="0" equalAverage="0" bottom="0" percent="0" rank="0" text="" dxfId="20">
      <formula>EXACT($D5,"MVP")</formula>
    </cfRule>
    <cfRule type="expression" priority="3" aboveAverage="0" equalAverage="0" bottom="0" percent="0" rank="0" text="" dxfId="22">
      <formula>EXACT($D5,"FUTURE")</formula>
    </cfRule>
    <cfRule type="expression" priority="4" aboveAverage="0" equalAverage="0" bottom="0" percent="0" rank="0" text="" dxfId="21">
      <formula>EXACT($D5,"DEFERRED")</formula>
    </cfRule>
  </conditionalFormatting>
  <conditionalFormatting sqref="K5:K73">
    <cfRule type="expression" priority="5" aboveAverage="0" equalAverage="0" bottom="0" percent="0" rank="0" text="" dxfId="16">
      <formula>EXACT($K5,"NOT STARTED")</formula>
    </cfRule>
    <cfRule type="expression" priority="6" aboveAverage="0" equalAverage="0" bottom="0" percent="0" rank="0" text="" dxfId="17">
      <formula>EXACT($K5,"IN PROGRESS")</formula>
    </cfRule>
    <cfRule type="expression" priority="7" aboveAverage="0" equalAverage="0" bottom="0" percent="0" rank="0" text="" dxfId="18">
      <formula>EXACT($K5,"BLOCKED")</formula>
    </cfRule>
    <cfRule type="expression" priority="8" aboveAverage="0" equalAverage="0" bottom="0" percent="0" rank="0" text="" dxfId="19">
      <formula>EXACT($K5,"REVIEW")</formula>
    </cfRule>
    <cfRule type="expression" priority="9" aboveAverage="0" equalAverage="0" bottom="0" percent="0" rank="0" text="" dxfId="20">
      <formula>EXACT($K5,"DONE")</formula>
    </cfRule>
    <cfRule type="expression" priority="10" aboveAverage="0" equalAverage="0" bottom="0" percent="0" rank="0" text="" dxfId="21">
      <formula>EXACT($K5,"DEFERRED")</formula>
    </cfRule>
  </conditionalFormatting>
  <conditionalFormatting sqref="L5:L73">
    <cfRule type="expression" priority="11" aboveAverage="0" equalAverage="0" bottom="0" percent="0" rank="0" text="" dxfId="20">
      <formula>EXACT($L5,"OBSERVED FROM RESEARCH")</formula>
    </cfRule>
    <cfRule type="expression" priority="12" aboveAverage="0" equalAverage="0" bottom="0" percent="0" rank="0" text="" dxfId="19">
      <formula>EXACT($L5,"PROPOSED")</formula>
    </cfRule>
    <cfRule type="expression" priority="13" aboveAverage="0" equalAverage="0" bottom="0" percent="0" rank="0" text="" dxfId="23">
      <formula>EXACT($L5,"DECISION REQUIRED")</formula>
    </cfRule>
    <cfRule type="expression" priority="14" aboveAverage="0" equalAverage="0" bottom="0" percent="0" rank="0" text="" dxfId="24">
      <formula>EXACT($L5,"USER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K5:K73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60"/>
    <col collapsed="false" customWidth="true" hidden="false" outlineLevel="0" max="8" min="8" style="0" width="3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21.75" hidden="false" customHeight="true" outlineLevel="0" collapsed="false">
      <c r="A1" s="19" t="s">
        <v>2340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7.75" hidden="false" customHeight="true" outlineLevel="0" collapsed="false">
      <c r="A2" s="11" t="s">
        <v>2341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customFormat="false" ht="33.75" hidden="false" customHeight="true" outlineLevel="0" collapsed="false">
      <c r="A4" s="16" t="s">
        <v>2342</v>
      </c>
      <c r="B4" s="16" t="s">
        <v>2343</v>
      </c>
      <c r="C4" s="16" t="s">
        <v>2344</v>
      </c>
      <c r="D4" s="16" t="s">
        <v>2345</v>
      </c>
      <c r="E4" s="16" t="s">
        <v>2346</v>
      </c>
      <c r="F4" s="16" t="s">
        <v>2347</v>
      </c>
      <c r="G4" s="16" t="s">
        <v>2348</v>
      </c>
      <c r="H4" s="16" t="s">
        <v>2349</v>
      </c>
      <c r="I4" s="16" t="s">
        <v>2350</v>
      </c>
      <c r="J4" s="16" t="s">
        <v>122</v>
      </c>
      <c r="K4" s="16" t="s">
        <v>128</v>
      </c>
    </row>
    <row r="5" customFormat="false" ht="23.85" hidden="false" customHeight="false" outlineLevel="0" collapsed="false">
      <c r="A5" s="17" t="s">
        <v>2351</v>
      </c>
      <c r="B5" s="17" t="s">
        <v>2352</v>
      </c>
      <c r="C5" s="17" t="s">
        <v>2353</v>
      </c>
      <c r="D5" s="17" t="s">
        <v>2354</v>
      </c>
      <c r="E5" s="17" t="s">
        <v>2104</v>
      </c>
      <c r="F5" s="17" t="s">
        <v>2355</v>
      </c>
      <c r="G5" s="17" t="s">
        <v>2356</v>
      </c>
      <c r="H5" s="17" t="s">
        <v>2357</v>
      </c>
      <c r="I5" s="17" t="s">
        <v>2104</v>
      </c>
      <c r="J5" s="17" t="s">
        <v>103</v>
      </c>
      <c r="K5" s="17" t="s">
        <v>14</v>
      </c>
    </row>
    <row r="6" customFormat="false" ht="23.85" hidden="false" customHeight="false" outlineLevel="0" collapsed="false">
      <c r="A6" s="18" t="s">
        <v>2358</v>
      </c>
      <c r="B6" s="18" t="s">
        <v>2359</v>
      </c>
      <c r="C6" s="18" t="s">
        <v>2360</v>
      </c>
      <c r="D6" s="18" t="s">
        <v>2361</v>
      </c>
      <c r="E6" s="18" t="s">
        <v>2104</v>
      </c>
      <c r="F6" s="18" t="s">
        <v>2362</v>
      </c>
      <c r="G6" s="18" t="s">
        <v>2363</v>
      </c>
      <c r="H6" s="18" t="s">
        <v>2364</v>
      </c>
      <c r="I6" s="18" t="s">
        <v>2104</v>
      </c>
      <c r="J6" s="18" t="s">
        <v>103</v>
      </c>
      <c r="K6" s="18" t="s">
        <v>14</v>
      </c>
    </row>
    <row r="7" customFormat="false" ht="23.85" hidden="false" customHeight="false" outlineLevel="0" collapsed="false">
      <c r="A7" s="17" t="s">
        <v>2365</v>
      </c>
      <c r="B7" s="17" t="s">
        <v>2366</v>
      </c>
      <c r="C7" s="17" t="s">
        <v>2367</v>
      </c>
      <c r="D7" s="17" t="s">
        <v>2361</v>
      </c>
      <c r="E7" s="17" t="s">
        <v>2104</v>
      </c>
      <c r="F7" s="17" t="s">
        <v>2368</v>
      </c>
      <c r="G7" s="17" t="s">
        <v>2369</v>
      </c>
      <c r="H7" s="17" t="s">
        <v>2370</v>
      </c>
      <c r="I7" s="17" t="s">
        <v>2104</v>
      </c>
      <c r="J7" s="17" t="s">
        <v>103</v>
      </c>
      <c r="K7" s="17" t="s">
        <v>14</v>
      </c>
    </row>
    <row r="8" customFormat="false" ht="23.85" hidden="false" customHeight="false" outlineLevel="0" collapsed="false">
      <c r="A8" s="18" t="s">
        <v>2371</v>
      </c>
      <c r="B8" s="18" t="s">
        <v>2372</v>
      </c>
      <c r="C8" s="18" t="s">
        <v>2373</v>
      </c>
      <c r="D8" s="18" t="s">
        <v>2361</v>
      </c>
      <c r="E8" s="18" t="s">
        <v>2374</v>
      </c>
      <c r="F8" s="18" t="s">
        <v>2375</v>
      </c>
      <c r="G8" s="18" t="s">
        <v>2376</v>
      </c>
      <c r="H8" s="18" t="s">
        <v>2377</v>
      </c>
      <c r="I8" s="18" t="s">
        <v>2104</v>
      </c>
      <c r="J8" s="18" t="s">
        <v>103</v>
      </c>
      <c r="K8" s="18" t="s">
        <v>14</v>
      </c>
    </row>
    <row r="9" customFormat="false" ht="23.85" hidden="false" customHeight="false" outlineLevel="0" collapsed="false">
      <c r="A9" s="17" t="s">
        <v>2378</v>
      </c>
      <c r="B9" s="17" t="s">
        <v>2379</v>
      </c>
      <c r="C9" s="17" t="s">
        <v>2380</v>
      </c>
      <c r="D9" s="17" t="s">
        <v>2361</v>
      </c>
      <c r="E9" s="17" t="s">
        <v>2104</v>
      </c>
      <c r="F9" s="17" t="s">
        <v>2368</v>
      </c>
      <c r="G9" s="17" t="s">
        <v>2381</v>
      </c>
      <c r="H9" s="17" t="s">
        <v>2382</v>
      </c>
      <c r="I9" s="17" t="s">
        <v>2104</v>
      </c>
      <c r="J9" s="17" t="s">
        <v>103</v>
      </c>
      <c r="K9" s="17" t="s">
        <v>14</v>
      </c>
    </row>
    <row r="10" customFormat="false" ht="23.85" hidden="false" customHeight="false" outlineLevel="0" collapsed="false">
      <c r="A10" s="18" t="s">
        <v>2383</v>
      </c>
      <c r="B10" s="18" t="s">
        <v>2384</v>
      </c>
      <c r="C10" s="18" t="s">
        <v>2385</v>
      </c>
      <c r="D10" s="18" t="s">
        <v>2361</v>
      </c>
      <c r="E10" s="18" t="s">
        <v>2386</v>
      </c>
      <c r="F10" s="18" t="s">
        <v>2368</v>
      </c>
      <c r="G10" s="18" t="s">
        <v>2387</v>
      </c>
      <c r="H10" s="18" t="s">
        <v>2388</v>
      </c>
      <c r="I10" s="18" t="s">
        <v>2104</v>
      </c>
      <c r="J10" s="18" t="s">
        <v>103</v>
      </c>
      <c r="K10" s="18" t="s">
        <v>14</v>
      </c>
    </row>
    <row r="11" customFormat="false" ht="23.85" hidden="false" customHeight="false" outlineLevel="0" collapsed="false">
      <c r="A11" s="17" t="s">
        <v>2389</v>
      </c>
      <c r="B11" s="17" t="s">
        <v>2390</v>
      </c>
      <c r="C11" s="17" t="s">
        <v>2391</v>
      </c>
      <c r="D11" s="17" t="s">
        <v>2361</v>
      </c>
      <c r="E11" s="17" t="s">
        <v>2104</v>
      </c>
      <c r="F11" s="17" t="s">
        <v>2362</v>
      </c>
      <c r="G11" s="17" t="s">
        <v>2392</v>
      </c>
      <c r="H11" s="17" t="s">
        <v>2393</v>
      </c>
      <c r="I11" s="17" t="s">
        <v>2104</v>
      </c>
      <c r="J11" s="17" t="s">
        <v>103</v>
      </c>
      <c r="K11" s="17" t="s">
        <v>14</v>
      </c>
    </row>
    <row r="12" customFormat="false" ht="23.85" hidden="false" customHeight="false" outlineLevel="0" collapsed="false">
      <c r="A12" s="18" t="s">
        <v>2394</v>
      </c>
      <c r="B12" s="18" t="s">
        <v>2395</v>
      </c>
      <c r="C12" s="18" t="s">
        <v>2396</v>
      </c>
      <c r="D12" s="18" t="s">
        <v>2361</v>
      </c>
      <c r="E12" s="18" t="s">
        <v>2104</v>
      </c>
      <c r="F12" s="18" t="s">
        <v>2362</v>
      </c>
      <c r="G12" s="18" t="s">
        <v>2397</v>
      </c>
      <c r="H12" s="18" t="s">
        <v>2398</v>
      </c>
      <c r="I12" s="18" t="s">
        <v>2104</v>
      </c>
      <c r="J12" s="18" t="s">
        <v>103</v>
      </c>
      <c r="K12" s="18" t="s">
        <v>14</v>
      </c>
    </row>
    <row r="13" customFormat="false" ht="23.85" hidden="false" customHeight="false" outlineLevel="0" collapsed="false">
      <c r="A13" s="17" t="s">
        <v>2399</v>
      </c>
      <c r="B13" s="17" t="s">
        <v>2400</v>
      </c>
      <c r="C13" s="17" t="s">
        <v>2401</v>
      </c>
      <c r="D13" s="17" t="s">
        <v>2354</v>
      </c>
      <c r="E13" s="17" t="s">
        <v>2374</v>
      </c>
      <c r="F13" s="17" t="s">
        <v>2402</v>
      </c>
      <c r="G13" s="17" t="s">
        <v>2403</v>
      </c>
      <c r="H13" s="17" t="s">
        <v>2404</v>
      </c>
      <c r="I13" s="17" t="s">
        <v>2104</v>
      </c>
      <c r="J13" s="17" t="s">
        <v>103</v>
      </c>
      <c r="K13" s="17" t="s">
        <v>14</v>
      </c>
    </row>
    <row r="14" customFormat="false" ht="23.85" hidden="false" customHeight="false" outlineLevel="0" collapsed="false">
      <c r="A14" s="18" t="s">
        <v>2405</v>
      </c>
      <c r="B14" s="18" t="s">
        <v>2406</v>
      </c>
      <c r="C14" s="18" t="s">
        <v>2407</v>
      </c>
      <c r="D14" s="18" t="s">
        <v>2408</v>
      </c>
      <c r="E14" s="18" t="s">
        <v>2374</v>
      </c>
      <c r="F14" s="18" t="s">
        <v>2402</v>
      </c>
      <c r="G14" s="18" t="s">
        <v>2409</v>
      </c>
      <c r="H14" s="18" t="s">
        <v>2410</v>
      </c>
      <c r="I14" s="18" t="s">
        <v>2104</v>
      </c>
      <c r="J14" s="18" t="s">
        <v>103</v>
      </c>
      <c r="K14" s="18" t="s">
        <v>14</v>
      </c>
    </row>
    <row r="15" customFormat="false" ht="15" hidden="false" customHeight="false" outlineLevel="0" collapsed="false">
      <c r="A15" s="17" t="s">
        <v>2411</v>
      </c>
      <c r="B15" s="17" t="s">
        <v>2412</v>
      </c>
      <c r="C15" s="17" t="s">
        <v>2413</v>
      </c>
      <c r="D15" s="17" t="s">
        <v>1987</v>
      </c>
      <c r="E15" s="17" t="s">
        <v>2104</v>
      </c>
      <c r="F15" s="17" t="s">
        <v>2414</v>
      </c>
      <c r="G15" s="17" t="s">
        <v>2415</v>
      </c>
      <c r="H15" s="17" t="s">
        <v>135</v>
      </c>
      <c r="I15" s="17" t="s">
        <v>2104</v>
      </c>
      <c r="J15" s="17" t="s">
        <v>103</v>
      </c>
      <c r="K15" s="17" t="s">
        <v>16</v>
      </c>
    </row>
    <row r="16" customFormat="false" ht="23.85" hidden="false" customHeight="false" outlineLevel="0" collapsed="false">
      <c r="A16" s="18" t="s">
        <v>2416</v>
      </c>
      <c r="B16" s="18" t="s">
        <v>2417</v>
      </c>
      <c r="C16" s="18" t="s">
        <v>2418</v>
      </c>
      <c r="D16" s="18" t="s">
        <v>1987</v>
      </c>
      <c r="E16" s="18" t="s">
        <v>2374</v>
      </c>
      <c r="F16" s="18" t="s">
        <v>2402</v>
      </c>
      <c r="G16" s="18" t="s">
        <v>2419</v>
      </c>
      <c r="H16" s="18" t="s">
        <v>2420</v>
      </c>
      <c r="I16" s="18" t="s">
        <v>2104</v>
      </c>
      <c r="J16" s="18" t="s">
        <v>103</v>
      </c>
      <c r="K16" s="18" t="s">
        <v>14</v>
      </c>
    </row>
    <row r="17" customFormat="false" ht="15" hidden="false" customHeight="false" outlineLevel="0" collapsed="false">
      <c r="A17" s="17" t="s">
        <v>2421</v>
      </c>
      <c r="B17" s="17" t="s">
        <v>2422</v>
      </c>
      <c r="C17" s="17" t="s">
        <v>2423</v>
      </c>
      <c r="D17" s="17" t="s">
        <v>2424</v>
      </c>
      <c r="E17" s="17" t="s">
        <v>2374</v>
      </c>
      <c r="F17" s="17" t="s">
        <v>2402</v>
      </c>
      <c r="G17" s="17" t="s">
        <v>2425</v>
      </c>
      <c r="H17" s="17" t="s">
        <v>2426</v>
      </c>
      <c r="I17" s="17" t="s">
        <v>2104</v>
      </c>
      <c r="J17" s="17" t="s">
        <v>103</v>
      </c>
      <c r="K17" s="17" t="s">
        <v>16</v>
      </c>
    </row>
    <row r="18" customFormat="false" ht="23.85" hidden="false" customHeight="false" outlineLevel="0" collapsed="false">
      <c r="A18" s="18" t="s">
        <v>1069</v>
      </c>
      <c r="B18" s="18" t="s">
        <v>2427</v>
      </c>
      <c r="C18" s="18" t="s">
        <v>2428</v>
      </c>
      <c r="D18" s="18" t="s">
        <v>2408</v>
      </c>
      <c r="E18" s="18" t="s">
        <v>2374</v>
      </c>
      <c r="F18" s="18" t="s">
        <v>2402</v>
      </c>
      <c r="G18" s="18" t="s">
        <v>2429</v>
      </c>
      <c r="H18" s="18" t="s">
        <v>2420</v>
      </c>
      <c r="I18" s="18" t="s">
        <v>2104</v>
      </c>
      <c r="J18" s="18" t="s">
        <v>103</v>
      </c>
      <c r="K18" s="18" t="s">
        <v>14</v>
      </c>
    </row>
    <row r="19" customFormat="false" ht="23.85" hidden="false" customHeight="false" outlineLevel="0" collapsed="false">
      <c r="A19" s="17" t="s">
        <v>1025</v>
      </c>
      <c r="B19" s="17" t="s">
        <v>2430</v>
      </c>
      <c r="C19" s="17" t="s">
        <v>2431</v>
      </c>
      <c r="D19" s="17" t="s">
        <v>2408</v>
      </c>
      <c r="E19" s="17" t="s">
        <v>2374</v>
      </c>
      <c r="F19" s="17" t="s">
        <v>2402</v>
      </c>
      <c r="G19" s="17" t="s">
        <v>2432</v>
      </c>
      <c r="H19" s="17" t="s">
        <v>2433</v>
      </c>
      <c r="I19" s="17" t="s">
        <v>2104</v>
      </c>
      <c r="J19" s="17" t="s">
        <v>103</v>
      </c>
      <c r="K19" s="17" t="s">
        <v>14</v>
      </c>
    </row>
    <row r="20" customFormat="false" ht="23.85" hidden="false" customHeight="false" outlineLevel="0" collapsed="false">
      <c r="A20" s="18" t="s">
        <v>1086</v>
      </c>
      <c r="B20" s="18" t="s">
        <v>2434</v>
      </c>
      <c r="C20" s="18" t="s">
        <v>2435</v>
      </c>
      <c r="D20" s="18" t="s">
        <v>2408</v>
      </c>
      <c r="E20" s="18" t="s">
        <v>2374</v>
      </c>
      <c r="F20" s="18" t="s">
        <v>2402</v>
      </c>
      <c r="G20" s="18" t="s">
        <v>2436</v>
      </c>
      <c r="H20" s="18" t="s">
        <v>2437</v>
      </c>
      <c r="I20" s="18" t="s">
        <v>2104</v>
      </c>
      <c r="J20" s="18" t="s">
        <v>103</v>
      </c>
      <c r="K20" s="18" t="s">
        <v>14</v>
      </c>
    </row>
    <row r="21" customFormat="false" ht="23.85" hidden="false" customHeight="false" outlineLevel="0" collapsed="false">
      <c r="A21" s="17" t="s">
        <v>1078</v>
      </c>
      <c r="B21" s="17" t="s">
        <v>2438</v>
      </c>
      <c r="C21" s="17" t="s">
        <v>2439</v>
      </c>
      <c r="D21" s="17" t="s">
        <v>2361</v>
      </c>
      <c r="E21" s="17" t="s">
        <v>2374</v>
      </c>
      <c r="F21" s="17" t="s">
        <v>2402</v>
      </c>
      <c r="G21" s="17" t="s">
        <v>2440</v>
      </c>
      <c r="H21" s="17" t="s">
        <v>2441</v>
      </c>
      <c r="I21" s="17" t="s">
        <v>2104</v>
      </c>
      <c r="J21" s="17" t="s">
        <v>103</v>
      </c>
      <c r="K21" s="17" t="s">
        <v>14</v>
      </c>
    </row>
    <row r="22" customFormat="false" ht="23.85" hidden="false" customHeight="false" outlineLevel="0" collapsed="false">
      <c r="A22" s="18" t="s">
        <v>2442</v>
      </c>
      <c r="B22" s="18" t="s">
        <v>2443</v>
      </c>
      <c r="C22" s="18" t="s">
        <v>2444</v>
      </c>
      <c r="D22" s="18" t="s">
        <v>2424</v>
      </c>
      <c r="E22" s="18" t="s">
        <v>2374</v>
      </c>
      <c r="F22" s="18" t="s">
        <v>2402</v>
      </c>
      <c r="G22" s="18" t="s">
        <v>2445</v>
      </c>
      <c r="H22" s="18" t="s">
        <v>2446</v>
      </c>
      <c r="I22" s="18" t="s">
        <v>2104</v>
      </c>
      <c r="J22" s="18" t="s">
        <v>103</v>
      </c>
      <c r="K22" s="18" t="s">
        <v>14</v>
      </c>
    </row>
    <row r="23" customFormat="false" ht="23.85" hidden="false" customHeight="false" outlineLevel="0" collapsed="false">
      <c r="A23" s="17" t="s">
        <v>2447</v>
      </c>
      <c r="B23" s="17" t="s">
        <v>2448</v>
      </c>
      <c r="C23" s="17" t="s">
        <v>2250</v>
      </c>
      <c r="D23" s="17" t="s">
        <v>2015</v>
      </c>
      <c r="E23" s="17" t="s">
        <v>2374</v>
      </c>
      <c r="F23" s="17" t="s">
        <v>2402</v>
      </c>
      <c r="G23" s="17" t="s">
        <v>2449</v>
      </c>
      <c r="H23" s="17" t="s">
        <v>2450</v>
      </c>
      <c r="I23" s="17" t="s">
        <v>2129</v>
      </c>
      <c r="J23" s="17" t="s">
        <v>103</v>
      </c>
      <c r="K23" s="17" t="s">
        <v>14</v>
      </c>
    </row>
    <row r="24" customFormat="false" ht="15" hidden="false" customHeight="false" outlineLevel="0" collapsed="false">
      <c r="A24" s="18" t="s">
        <v>2451</v>
      </c>
      <c r="B24" s="18" t="s">
        <v>2452</v>
      </c>
      <c r="C24" s="18" t="s">
        <v>2453</v>
      </c>
      <c r="D24" s="18" t="s">
        <v>2015</v>
      </c>
      <c r="E24" s="18" t="s">
        <v>2374</v>
      </c>
      <c r="F24" s="18" t="s">
        <v>2402</v>
      </c>
      <c r="G24" s="18" t="s">
        <v>2454</v>
      </c>
      <c r="H24" s="18" t="s">
        <v>2450</v>
      </c>
      <c r="I24" s="18" t="s">
        <v>2129</v>
      </c>
      <c r="J24" s="18" t="s">
        <v>103</v>
      </c>
      <c r="K24" s="18" t="s">
        <v>16</v>
      </c>
    </row>
    <row r="25" customFormat="false" ht="15" hidden="false" customHeight="false" outlineLevel="0" collapsed="false">
      <c r="A25" s="17" t="s">
        <v>2455</v>
      </c>
      <c r="B25" s="17" t="s">
        <v>2456</v>
      </c>
      <c r="C25" s="17" t="s">
        <v>2457</v>
      </c>
      <c r="D25" s="17" t="s">
        <v>2015</v>
      </c>
      <c r="E25" s="17" t="s">
        <v>2374</v>
      </c>
      <c r="F25" s="17" t="s">
        <v>2402</v>
      </c>
      <c r="G25" s="17" t="s">
        <v>2458</v>
      </c>
      <c r="H25" s="17" t="s">
        <v>2450</v>
      </c>
      <c r="I25" s="17" t="s">
        <v>2129</v>
      </c>
      <c r="J25" s="17" t="s">
        <v>103</v>
      </c>
      <c r="K25" s="17" t="s">
        <v>16</v>
      </c>
    </row>
    <row r="26" customFormat="false" ht="23.85" hidden="false" customHeight="false" outlineLevel="0" collapsed="false">
      <c r="A26" s="18" t="s">
        <v>2459</v>
      </c>
      <c r="B26" s="18" t="s">
        <v>2460</v>
      </c>
      <c r="C26" s="18" t="s">
        <v>2461</v>
      </c>
      <c r="D26" s="18" t="s">
        <v>2015</v>
      </c>
      <c r="E26" s="18" t="s">
        <v>2374</v>
      </c>
      <c r="F26" s="18" t="s">
        <v>2402</v>
      </c>
      <c r="G26" s="18" t="s">
        <v>2462</v>
      </c>
      <c r="H26" s="18" t="s">
        <v>2450</v>
      </c>
      <c r="I26" s="18" t="s">
        <v>2129</v>
      </c>
      <c r="J26" s="18" t="s">
        <v>103</v>
      </c>
      <c r="K26" s="18" t="s">
        <v>14</v>
      </c>
    </row>
    <row r="27" customFormat="false" ht="15" hidden="false" customHeight="false" outlineLevel="0" collapsed="false">
      <c r="A27" s="17" t="s">
        <v>2463</v>
      </c>
      <c r="B27" s="17" t="s">
        <v>2464</v>
      </c>
      <c r="C27" s="17" t="s">
        <v>2465</v>
      </c>
      <c r="D27" s="17" t="s">
        <v>2015</v>
      </c>
      <c r="E27" s="17" t="s">
        <v>2374</v>
      </c>
      <c r="F27" s="17" t="s">
        <v>2402</v>
      </c>
      <c r="G27" s="17" t="s">
        <v>2466</v>
      </c>
      <c r="H27" s="17" t="s">
        <v>2450</v>
      </c>
      <c r="I27" s="17" t="s">
        <v>2129</v>
      </c>
      <c r="J27" s="17" t="s">
        <v>103</v>
      </c>
      <c r="K27" s="17" t="s">
        <v>16</v>
      </c>
    </row>
    <row r="28" customFormat="false" ht="23.85" hidden="false" customHeight="false" outlineLevel="0" collapsed="false">
      <c r="A28" s="18" t="s">
        <v>2467</v>
      </c>
      <c r="B28" s="18" t="s">
        <v>2468</v>
      </c>
      <c r="C28" s="18" t="s">
        <v>2469</v>
      </c>
      <c r="D28" s="18" t="s">
        <v>2015</v>
      </c>
      <c r="E28" s="18" t="s">
        <v>2374</v>
      </c>
      <c r="F28" s="18" t="s">
        <v>2402</v>
      </c>
      <c r="G28" s="18" t="s">
        <v>2470</v>
      </c>
      <c r="H28" s="18" t="s">
        <v>2450</v>
      </c>
      <c r="I28" s="18" t="s">
        <v>2129</v>
      </c>
      <c r="J28" s="18" t="s">
        <v>103</v>
      </c>
      <c r="K28" s="18" t="s">
        <v>14</v>
      </c>
    </row>
    <row r="29" customFormat="false" ht="15" hidden="false" customHeight="false" outlineLevel="0" collapsed="false">
      <c r="A29" s="17" t="s">
        <v>2471</v>
      </c>
      <c r="B29" s="17" t="s">
        <v>2472</v>
      </c>
      <c r="C29" s="17" t="s">
        <v>2473</v>
      </c>
      <c r="D29" s="17" t="s">
        <v>2015</v>
      </c>
      <c r="E29" s="17" t="s">
        <v>2374</v>
      </c>
      <c r="F29" s="17" t="s">
        <v>2402</v>
      </c>
      <c r="G29" s="17" t="s">
        <v>2474</v>
      </c>
      <c r="H29" s="17" t="s">
        <v>2450</v>
      </c>
      <c r="I29" s="17" t="s">
        <v>2129</v>
      </c>
      <c r="J29" s="17" t="s">
        <v>103</v>
      </c>
      <c r="K29" s="17" t="s">
        <v>16</v>
      </c>
    </row>
    <row r="30" customFormat="false" ht="23.85" hidden="false" customHeight="false" outlineLevel="0" collapsed="false">
      <c r="A30" s="18" t="s">
        <v>2475</v>
      </c>
      <c r="B30" s="18" t="s">
        <v>2476</v>
      </c>
      <c r="C30" s="18" t="s">
        <v>2477</v>
      </c>
      <c r="D30" s="18" t="s">
        <v>2354</v>
      </c>
      <c r="E30" s="18" t="s">
        <v>2104</v>
      </c>
      <c r="F30" s="18" t="s">
        <v>2478</v>
      </c>
      <c r="G30" s="18" t="s">
        <v>2479</v>
      </c>
      <c r="H30" s="18" t="s">
        <v>135</v>
      </c>
      <c r="I30" s="18" t="s">
        <v>2104</v>
      </c>
      <c r="J30" s="18" t="s">
        <v>103</v>
      </c>
      <c r="K30" s="18" t="s">
        <v>14</v>
      </c>
    </row>
    <row r="31" customFormat="false" ht="23.85" hidden="false" customHeight="false" outlineLevel="0" collapsed="false">
      <c r="A31" s="17" t="s">
        <v>2480</v>
      </c>
      <c r="B31" s="17" t="s">
        <v>2481</v>
      </c>
      <c r="C31" s="17" t="s">
        <v>2482</v>
      </c>
      <c r="D31" s="17" t="s">
        <v>2354</v>
      </c>
      <c r="E31" s="17" t="s">
        <v>2104</v>
      </c>
      <c r="F31" s="17" t="s">
        <v>2478</v>
      </c>
      <c r="G31" s="17" t="s">
        <v>2483</v>
      </c>
      <c r="H31" s="17" t="s">
        <v>135</v>
      </c>
      <c r="I31" s="17" t="s">
        <v>2104</v>
      </c>
      <c r="J31" s="17" t="s">
        <v>103</v>
      </c>
      <c r="K31" s="17" t="s">
        <v>14</v>
      </c>
    </row>
    <row r="32" customFormat="false" ht="15" hidden="false" customHeight="false" outlineLevel="0" collapsed="false">
      <c r="A32" s="18" t="s">
        <v>2484</v>
      </c>
      <c r="B32" s="18" t="s">
        <v>2485</v>
      </c>
      <c r="C32" s="18" t="s">
        <v>2486</v>
      </c>
      <c r="D32" s="18" t="s">
        <v>2354</v>
      </c>
      <c r="E32" s="18" t="s">
        <v>2104</v>
      </c>
      <c r="F32" s="18" t="s">
        <v>2478</v>
      </c>
      <c r="G32" s="18" t="s">
        <v>2487</v>
      </c>
      <c r="H32" s="18" t="s">
        <v>2488</v>
      </c>
      <c r="I32" s="18" t="s">
        <v>2104</v>
      </c>
      <c r="J32" s="18" t="s">
        <v>103</v>
      </c>
      <c r="K32" s="18" t="s">
        <v>16</v>
      </c>
    </row>
    <row r="33" customFormat="false" ht="23.85" hidden="false" customHeight="false" outlineLevel="0" collapsed="false">
      <c r="A33" s="17" t="s">
        <v>2489</v>
      </c>
      <c r="B33" s="17" t="s">
        <v>2490</v>
      </c>
      <c r="C33" s="17" t="s">
        <v>2491</v>
      </c>
      <c r="D33" s="17" t="s">
        <v>2354</v>
      </c>
      <c r="E33" s="17" t="s">
        <v>2104</v>
      </c>
      <c r="F33" s="17" t="s">
        <v>2414</v>
      </c>
      <c r="G33" s="17" t="s">
        <v>2492</v>
      </c>
      <c r="H33" s="17" t="s">
        <v>2493</v>
      </c>
      <c r="I33" s="17" t="s">
        <v>2104</v>
      </c>
      <c r="J33" s="17" t="s">
        <v>103</v>
      </c>
      <c r="K33" s="17" t="s">
        <v>14</v>
      </c>
    </row>
    <row r="34" customFormat="false" ht="15" hidden="false" customHeight="false" outlineLevel="0" collapsed="false">
      <c r="A34" s="18" t="s">
        <v>2494</v>
      </c>
      <c r="B34" s="18" t="s">
        <v>2495</v>
      </c>
      <c r="C34" s="18" t="s">
        <v>2496</v>
      </c>
      <c r="D34" s="18" t="s">
        <v>2354</v>
      </c>
      <c r="E34" s="18" t="s">
        <v>2129</v>
      </c>
      <c r="F34" s="18" t="s">
        <v>2478</v>
      </c>
      <c r="G34" s="18" t="s">
        <v>2497</v>
      </c>
      <c r="H34" s="18" t="s">
        <v>135</v>
      </c>
      <c r="I34" s="18" t="s">
        <v>2104</v>
      </c>
      <c r="J34" s="18" t="s">
        <v>103</v>
      </c>
      <c r="K34" s="18" t="s">
        <v>16</v>
      </c>
    </row>
    <row r="35" customFormat="false" ht="15" hidden="false" customHeight="false" outlineLevel="0" collapsed="false">
      <c r="A35" s="17" t="s">
        <v>2498</v>
      </c>
      <c r="B35" s="17" t="s">
        <v>2499</v>
      </c>
      <c r="C35" s="17" t="s">
        <v>2500</v>
      </c>
      <c r="D35" s="17" t="s">
        <v>2354</v>
      </c>
      <c r="E35" s="17" t="s">
        <v>2129</v>
      </c>
      <c r="F35" s="17" t="s">
        <v>2478</v>
      </c>
      <c r="G35" s="17" t="s">
        <v>2501</v>
      </c>
      <c r="H35" s="17" t="s">
        <v>135</v>
      </c>
      <c r="I35" s="17" t="s">
        <v>2104</v>
      </c>
      <c r="J35" s="17" t="s">
        <v>103</v>
      </c>
      <c r="K35" s="17" t="s">
        <v>16</v>
      </c>
    </row>
    <row r="36" customFormat="false" ht="23.85" hidden="false" customHeight="false" outlineLevel="0" collapsed="false">
      <c r="A36" s="18" t="s">
        <v>2502</v>
      </c>
      <c r="B36" s="18" t="s">
        <v>2503</v>
      </c>
      <c r="C36" s="18" t="s">
        <v>2281</v>
      </c>
      <c r="D36" s="18" t="s">
        <v>2504</v>
      </c>
      <c r="E36" s="18" t="s">
        <v>2104</v>
      </c>
      <c r="F36" s="18" t="s">
        <v>2505</v>
      </c>
      <c r="G36" s="18" t="s">
        <v>2506</v>
      </c>
      <c r="H36" s="18" t="s">
        <v>2507</v>
      </c>
      <c r="I36" s="18" t="s">
        <v>2129</v>
      </c>
      <c r="J36" s="18" t="s">
        <v>103</v>
      </c>
      <c r="K36" s="18" t="s">
        <v>14</v>
      </c>
    </row>
    <row r="37" customFormat="false" ht="23.85" hidden="false" customHeight="false" outlineLevel="0" collapsed="false">
      <c r="A37" s="17" t="s">
        <v>1280</v>
      </c>
      <c r="B37" s="17" t="s">
        <v>2508</v>
      </c>
      <c r="C37" s="17" t="s">
        <v>2509</v>
      </c>
      <c r="D37" s="17" t="s">
        <v>2504</v>
      </c>
      <c r="E37" s="17" t="s">
        <v>2104</v>
      </c>
      <c r="F37" s="17" t="s">
        <v>2510</v>
      </c>
      <c r="G37" s="17" t="s">
        <v>2511</v>
      </c>
      <c r="H37" s="17" t="s">
        <v>135</v>
      </c>
      <c r="I37" s="17" t="s">
        <v>2129</v>
      </c>
      <c r="J37" s="17" t="s">
        <v>103</v>
      </c>
      <c r="K37" s="17" t="s">
        <v>14</v>
      </c>
    </row>
    <row r="38" customFormat="false" ht="23.85" hidden="false" customHeight="false" outlineLevel="0" collapsed="false">
      <c r="A38" s="18" t="s">
        <v>2512</v>
      </c>
      <c r="B38" s="18" t="s">
        <v>2513</v>
      </c>
      <c r="C38" s="18" t="s">
        <v>2514</v>
      </c>
      <c r="D38" s="18" t="s">
        <v>2361</v>
      </c>
      <c r="E38" s="18" t="s">
        <v>2374</v>
      </c>
      <c r="F38" s="18" t="s">
        <v>2402</v>
      </c>
      <c r="G38" s="18" t="s">
        <v>2515</v>
      </c>
      <c r="H38" s="18" t="s">
        <v>2516</v>
      </c>
      <c r="I38" s="18" t="s">
        <v>2104</v>
      </c>
      <c r="J38" s="18" t="s">
        <v>103</v>
      </c>
      <c r="K38" s="18" t="s">
        <v>14</v>
      </c>
    </row>
    <row r="39" customFormat="false" ht="23.85" hidden="false" customHeight="false" outlineLevel="0" collapsed="false">
      <c r="A39" s="17" t="s">
        <v>2517</v>
      </c>
      <c r="B39" s="17" t="s">
        <v>2518</v>
      </c>
      <c r="C39" s="17" t="s">
        <v>2519</v>
      </c>
      <c r="D39" s="17" t="s">
        <v>2361</v>
      </c>
      <c r="E39" s="17" t="s">
        <v>2104</v>
      </c>
      <c r="F39" s="17" t="s">
        <v>2368</v>
      </c>
      <c r="G39" s="17" t="s">
        <v>2520</v>
      </c>
      <c r="H39" s="17" t="s">
        <v>2521</v>
      </c>
      <c r="I39" s="17" t="s">
        <v>2104</v>
      </c>
      <c r="J39" s="17" t="s">
        <v>103</v>
      </c>
      <c r="K39" s="17" t="s">
        <v>14</v>
      </c>
    </row>
    <row r="40" customFormat="false" ht="23.85" hidden="false" customHeight="false" outlineLevel="0" collapsed="false">
      <c r="A40" s="18" t="s">
        <v>2238</v>
      </c>
      <c r="B40" s="18" t="s">
        <v>2522</v>
      </c>
      <c r="C40" s="18" t="s">
        <v>2523</v>
      </c>
      <c r="D40" s="18" t="s">
        <v>2361</v>
      </c>
      <c r="E40" s="18" t="s">
        <v>2104</v>
      </c>
      <c r="F40" s="18" t="s">
        <v>2368</v>
      </c>
      <c r="G40" s="18" t="s">
        <v>2524</v>
      </c>
      <c r="H40" s="18" t="s">
        <v>2525</v>
      </c>
      <c r="I40" s="18" t="s">
        <v>2104</v>
      </c>
      <c r="J40" s="18" t="s">
        <v>103</v>
      </c>
      <c r="K40" s="18" t="s">
        <v>14</v>
      </c>
    </row>
    <row r="41" customFormat="false" ht="23.85" hidden="false" customHeight="false" outlineLevel="0" collapsed="false">
      <c r="A41" s="17" t="s">
        <v>2526</v>
      </c>
      <c r="B41" s="17" t="s">
        <v>2527</v>
      </c>
      <c r="C41" s="17" t="s">
        <v>2528</v>
      </c>
      <c r="D41" s="17" t="s">
        <v>2361</v>
      </c>
      <c r="E41" s="17" t="s">
        <v>2104</v>
      </c>
      <c r="F41" s="17" t="s">
        <v>2368</v>
      </c>
      <c r="G41" s="17" t="s">
        <v>2529</v>
      </c>
      <c r="H41" s="17" t="s">
        <v>2530</v>
      </c>
      <c r="I41" s="17" t="s">
        <v>2104</v>
      </c>
      <c r="J41" s="17" t="s">
        <v>103</v>
      </c>
      <c r="K41" s="17" t="s">
        <v>14</v>
      </c>
    </row>
    <row r="42" customFormat="false" ht="23.85" hidden="false" customHeight="false" outlineLevel="0" collapsed="false">
      <c r="A42" s="18" t="s">
        <v>2333</v>
      </c>
      <c r="B42" s="18" t="s">
        <v>2531</v>
      </c>
      <c r="C42" s="18" t="s">
        <v>2532</v>
      </c>
      <c r="D42" s="18" t="s">
        <v>2361</v>
      </c>
      <c r="E42" s="18" t="s">
        <v>2104</v>
      </c>
      <c r="F42" s="18" t="s">
        <v>2533</v>
      </c>
      <c r="G42" s="18" t="s">
        <v>2534</v>
      </c>
      <c r="H42" s="18" t="s">
        <v>2437</v>
      </c>
      <c r="I42" s="18" t="s">
        <v>2104</v>
      </c>
      <c r="J42" s="18" t="s">
        <v>103</v>
      </c>
      <c r="K42" s="18" t="s">
        <v>14</v>
      </c>
    </row>
    <row r="43" customFormat="false" ht="23.85" hidden="false" customHeight="false" outlineLevel="0" collapsed="false">
      <c r="A43" s="17" t="s">
        <v>2330</v>
      </c>
      <c r="B43" s="17" t="s">
        <v>2535</v>
      </c>
      <c r="C43" s="17" t="s">
        <v>2536</v>
      </c>
      <c r="D43" s="17" t="s">
        <v>2361</v>
      </c>
      <c r="E43" s="17" t="s">
        <v>2104</v>
      </c>
      <c r="F43" s="17" t="s">
        <v>2368</v>
      </c>
      <c r="G43" s="17" t="s">
        <v>2537</v>
      </c>
      <c r="H43" s="17" t="s">
        <v>2538</v>
      </c>
      <c r="I43" s="17" t="s">
        <v>2104</v>
      </c>
      <c r="J43" s="17" t="s">
        <v>103</v>
      </c>
      <c r="K43" s="17" t="s">
        <v>14</v>
      </c>
    </row>
    <row r="44" customFormat="false" ht="23.85" hidden="false" customHeight="false" outlineLevel="0" collapsed="false">
      <c r="A44" s="18" t="s">
        <v>2539</v>
      </c>
      <c r="B44" s="18" t="s">
        <v>2540</v>
      </c>
      <c r="C44" s="18" t="s">
        <v>2541</v>
      </c>
      <c r="D44" s="18" t="s">
        <v>2542</v>
      </c>
      <c r="E44" s="18" t="s">
        <v>2104</v>
      </c>
      <c r="F44" s="18" t="s">
        <v>2414</v>
      </c>
      <c r="G44" s="18" t="s">
        <v>2543</v>
      </c>
      <c r="H44" s="18" t="s">
        <v>2544</v>
      </c>
      <c r="I44" s="18" t="s">
        <v>2104</v>
      </c>
      <c r="J44" s="18" t="s">
        <v>103</v>
      </c>
      <c r="K44" s="18" t="s">
        <v>14</v>
      </c>
    </row>
    <row r="45" customFormat="false" ht="23.85" hidden="false" customHeight="false" outlineLevel="0" collapsed="false">
      <c r="A45" s="17" t="s">
        <v>2337</v>
      </c>
      <c r="B45" s="17" t="s">
        <v>2545</v>
      </c>
      <c r="C45" s="17" t="s">
        <v>2546</v>
      </c>
      <c r="D45" s="17" t="s">
        <v>1971</v>
      </c>
      <c r="E45" s="17" t="s">
        <v>2104</v>
      </c>
      <c r="F45" s="17" t="s">
        <v>2547</v>
      </c>
      <c r="G45" s="17" t="s">
        <v>2548</v>
      </c>
      <c r="H45" s="17" t="s">
        <v>135</v>
      </c>
      <c r="I45" s="17" t="s">
        <v>2104</v>
      </c>
      <c r="J45" s="17" t="s">
        <v>103</v>
      </c>
      <c r="K45" s="17" t="s">
        <v>14</v>
      </c>
    </row>
  </sheetData>
  <autoFilter ref="A4:K45"/>
  <mergeCells count="2">
    <mergeCell ref="A1:J1"/>
    <mergeCell ref="A2:K2"/>
  </mergeCells>
  <conditionalFormatting sqref="J5:J45">
    <cfRule type="expression" priority="2" aboveAverage="0" equalAverage="0" bottom="0" percent="0" rank="0" text="" dxfId="16">
      <formula>EXACT($J5,"NOT STARTED")</formula>
    </cfRule>
    <cfRule type="expression" priority="3" aboveAverage="0" equalAverage="0" bottom="0" percent="0" rank="0" text="" dxfId="17">
      <formula>EXACT($J5,"IN PROGRESS")</formula>
    </cfRule>
    <cfRule type="expression" priority="4" aboveAverage="0" equalAverage="0" bottom="0" percent="0" rank="0" text="" dxfId="18">
      <formula>EXACT($J5,"BLOCKED")</formula>
    </cfRule>
    <cfRule type="expression" priority="5" aboveAverage="0" equalAverage="0" bottom="0" percent="0" rank="0" text="" dxfId="19">
      <formula>EXACT($J5,"REVIEW")</formula>
    </cfRule>
    <cfRule type="expression" priority="6" aboveAverage="0" equalAverage="0" bottom="0" percent="0" rank="0" text="" dxfId="20">
      <formula>EXACT($J5,"DONE")</formula>
    </cfRule>
    <cfRule type="expression" priority="7" aboveAverage="0" equalAverage="0" bottom="0" percent="0" rank="0" text="" dxfId="21">
      <formula>EXACT($J5,"DEFERRED")</formula>
    </cfRule>
  </conditionalFormatting>
  <conditionalFormatting sqref="K5:K45">
    <cfRule type="expression" priority="8" aboveAverage="0" equalAverage="0" bottom="0" percent="0" rank="0" text="" dxfId="20">
      <formula>EXACT($K5,"OBSERVED FROM RESEARCH")</formula>
    </cfRule>
    <cfRule type="expression" priority="9" aboveAverage="0" equalAverage="0" bottom="0" percent="0" rank="0" text="" dxfId="19">
      <formula>EXACT($K5,"PROPOSED")</formula>
    </cfRule>
    <cfRule type="expression" priority="10" aboveAverage="0" equalAverage="0" bottom="0" percent="0" rank="0" text="" dxfId="23">
      <formula>EXACT($K5,"DECISION REQUIRED")</formula>
    </cfRule>
    <cfRule type="expression" priority="11" aboveAverage="0" equalAverage="0" bottom="0" percent="0" rank="0" text="" dxfId="24">
      <formula>EXACT($K5,"USER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J5:J45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3"/>
    <col collapsed="false" customWidth="true" hidden="false" outlineLevel="0" max="8" min="8" style="0" width="58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19" t="s">
        <v>2549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2550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2551</v>
      </c>
      <c r="B4" s="16" t="s">
        <v>2552</v>
      </c>
      <c r="C4" s="16" t="s">
        <v>2553</v>
      </c>
      <c r="D4" s="16" t="s">
        <v>2554</v>
      </c>
      <c r="E4" s="16" t="s">
        <v>2555</v>
      </c>
      <c r="F4" s="16" t="s">
        <v>2556</v>
      </c>
      <c r="G4" s="16" t="s">
        <v>2557</v>
      </c>
      <c r="H4" s="16" t="s">
        <v>2558</v>
      </c>
      <c r="I4" s="16" t="s">
        <v>122</v>
      </c>
    </row>
    <row r="5" customFormat="false" ht="15" hidden="false" customHeight="false" outlineLevel="0" collapsed="false">
      <c r="A5" s="17" t="s">
        <v>2559</v>
      </c>
      <c r="B5" s="17" t="n">
        <v>1</v>
      </c>
      <c r="C5" s="17" t="s">
        <v>1971</v>
      </c>
      <c r="D5" s="17" t="s">
        <v>2560</v>
      </c>
      <c r="E5" s="17" t="s">
        <v>2351</v>
      </c>
      <c r="F5" s="17" t="s">
        <v>2561</v>
      </c>
      <c r="G5" s="17" t="s">
        <v>2562</v>
      </c>
      <c r="H5" s="17" t="s">
        <v>2563</v>
      </c>
      <c r="I5" s="17" t="s">
        <v>103</v>
      </c>
    </row>
    <row r="6" customFormat="false" ht="15" hidden="false" customHeight="false" outlineLevel="0" collapsed="false">
      <c r="A6" s="18" t="s">
        <v>2559</v>
      </c>
      <c r="B6" s="18" t="n">
        <v>2</v>
      </c>
      <c r="C6" s="18" t="s">
        <v>1971</v>
      </c>
      <c r="D6" s="18" t="s">
        <v>2564</v>
      </c>
      <c r="E6" s="18" t="s">
        <v>2351</v>
      </c>
      <c r="F6" s="18" t="s">
        <v>2565</v>
      </c>
      <c r="G6" s="18" t="s">
        <v>2566</v>
      </c>
      <c r="H6" s="18" t="s">
        <v>2567</v>
      </c>
      <c r="I6" s="18" t="s">
        <v>103</v>
      </c>
    </row>
    <row r="7" customFormat="false" ht="15" hidden="false" customHeight="false" outlineLevel="0" collapsed="false">
      <c r="A7" s="17" t="s">
        <v>2559</v>
      </c>
      <c r="B7" s="17" t="n">
        <v>3</v>
      </c>
      <c r="C7" s="17" t="s">
        <v>1971</v>
      </c>
      <c r="D7" s="17" t="s">
        <v>2568</v>
      </c>
      <c r="E7" s="17" t="s">
        <v>2351</v>
      </c>
      <c r="F7" s="17" t="s">
        <v>2569</v>
      </c>
      <c r="G7" s="17" t="s">
        <v>2570</v>
      </c>
      <c r="H7" s="17" t="s">
        <v>2571</v>
      </c>
      <c r="I7" s="17" t="s">
        <v>103</v>
      </c>
    </row>
    <row r="8" customFormat="false" ht="15" hidden="false" customHeight="false" outlineLevel="0" collapsed="false">
      <c r="A8" s="18" t="s">
        <v>2559</v>
      </c>
      <c r="B8" s="18" t="n">
        <v>4</v>
      </c>
      <c r="C8" s="18" t="s">
        <v>1971</v>
      </c>
      <c r="D8" s="18" t="s">
        <v>2572</v>
      </c>
      <c r="E8" s="18" t="s">
        <v>2351</v>
      </c>
      <c r="F8" s="18" t="s">
        <v>2573</v>
      </c>
      <c r="G8" s="18" t="s">
        <v>2574</v>
      </c>
      <c r="H8" s="18" t="s">
        <v>2575</v>
      </c>
      <c r="I8" s="18" t="s">
        <v>103</v>
      </c>
    </row>
    <row r="9" customFormat="false" ht="15" hidden="false" customHeight="false" outlineLevel="0" collapsed="false">
      <c r="A9" s="17" t="s">
        <v>2559</v>
      </c>
      <c r="B9" s="17" t="n">
        <v>5</v>
      </c>
      <c r="C9" s="17" t="s">
        <v>1971</v>
      </c>
      <c r="D9" s="17" t="s">
        <v>2576</v>
      </c>
      <c r="E9" s="17" t="s">
        <v>2351</v>
      </c>
      <c r="F9" s="17" t="s">
        <v>2577</v>
      </c>
      <c r="G9" s="17" t="s">
        <v>2578</v>
      </c>
      <c r="H9" s="17" t="s">
        <v>2579</v>
      </c>
      <c r="I9" s="17" t="s">
        <v>103</v>
      </c>
    </row>
    <row r="10" customFormat="false" ht="15" hidden="false" customHeight="false" outlineLevel="0" collapsed="false">
      <c r="A10" s="18" t="s">
        <v>2559</v>
      </c>
      <c r="B10" s="18" t="n">
        <v>6</v>
      </c>
      <c r="C10" s="18" t="s">
        <v>2580</v>
      </c>
      <c r="D10" s="18" t="s">
        <v>2581</v>
      </c>
      <c r="E10" s="18" t="s">
        <v>2582</v>
      </c>
      <c r="F10" s="18" t="s">
        <v>2583</v>
      </c>
      <c r="G10" s="18" t="s">
        <v>2584</v>
      </c>
      <c r="H10" s="18" t="s">
        <v>2585</v>
      </c>
      <c r="I10" s="18" t="s">
        <v>103</v>
      </c>
    </row>
    <row r="11" customFormat="false" ht="23.85" hidden="false" customHeight="false" outlineLevel="0" collapsed="false">
      <c r="A11" s="17" t="s">
        <v>2586</v>
      </c>
      <c r="B11" s="17" t="n">
        <v>1</v>
      </c>
      <c r="C11" s="17" t="s">
        <v>1971</v>
      </c>
      <c r="D11" s="17" t="s">
        <v>2587</v>
      </c>
      <c r="E11" s="17" t="s">
        <v>2588</v>
      </c>
      <c r="F11" s="17" t="s">
        <v>2589</v>
      </c>
      <c r="G11" s="17" t="s">
        <v>2562</v>
      </c>
      <c r="H11" s="17" t="s">
        <v>2590</v>
      </c>
      <c r="I11" s="17" t="s">
        <v>103</v>
      </c>
    </row>
    <row r="12" customFormat="false" ht="15" hidden="false" customHeight="false" outlineLevel="0" collapsed="false">
      <c r="A12" s="18" t="s">
        <v>2586</v>
      </c>
      <c r="B12" s="18" t="n">
        <v>2</v>
      </c>
      <c r="C12" s="18" t="s">
        <v>1971</v>
      </c>
      <c r="D12" s="18" t="s">
        <v>2591</v>
      </c>
      <c r="E12" s="18" t="s">
        <v>2592</v>
      </c>
      <c r="F12" s="18" t="s">
        <v>2593</v>
      </c>
      <c r="G12" s="18" t="s">
        <v>2566</v>
      </c>
      <c r="H12" s="18" t="s">
        <v>2594</v>
      </c>
      <c r="I12" s="18" t="s">
        <v>103</v>
      </c>
    </row>
    <row r="13" customFormat="false" ht="15" hidden="false" customHeight="false" outlineLevel="0" collapsed="false">
      <c r="A13" s="17" t="s">
        <v>2586</v>
      </c>
      <c r="B13" s="17" t="n">
        <v>3</v>
      </c>
      <c r="C13" s="17" t="s">
        <v>1971</v>
      </c>
      <c r="D13" s="17" t="s">
        <v>2595</v>
      </c>
      <c r="E13" s="17" t="s">
        <v>2592</v>
      </c>
      <c r="F13" s="17" t="s">
        <v>2596</v>
      </c>
      <c r="G13" s="17" t="s">
        <v>2570</v>
      </c>
      <c r="H13" s="17" t="s">
        <v>2597</v>
      </c>
      <c r="I13" s="17" t="s">
        <v>103</v>
      </c>
    </row>
    <row r="14" customFormat="false" ht="15" hidden="false" customHeight="false" outlineLevel="0" collapsed="false">
      <c r="A14" s="18" t="s">
        <v>2586</v>
      </c>
      <c r="B14" s="18" t="n">
        <v>4</v>
      </c>
      <c r="C14" s="18" t="s">
        <v>1971</v>
      </c>
      <c r="D14" s="18" t="s">
        <v>2598</v>
      </c>
      <c r="E14" s="18" t="s">
        <v>2592</v>
      </c>
      <c r="F14" s="18" t="s">
        <v>2599</v>
      </c>
      <c r="G14" s="18" t="s">
        <v>2574</v>
      </c>
      <c r="H14" s="18" t="s">
        <v>2600</v>
      </c>
      <c r="I14" s="18" t="s">
        <v>103</v>
      </c>
    </row>
    <row r="15" customFormat="false" ht="15" hidden="false" customHeight="false" outlineLevel="0" collapsed="false">
      <c r="A15" s="17" t="s">
        <v>2586</v>
      </c>
      <c r="B15" s="17" t="n">
        <v>5</v>
      </c>
      <c r="C15" s="17" t="s">
        <v>1971</v>
      </c>
      <c r="D15" s="17" t="s">
        <v>2601</v>
      </c>
      <c r="E15" s="17" t="s">
        <v>2582</v>
      </c>
      <c r="F15" s="17" t="s">
        <v>2602</v>
      </c>
      <c r="G15" s="17" t="s">
        <v>2578</v>
      </c>
      <c r="H15" s="17" t="s">
        <v>2603</v>
      </c>
      <c r="I15" s="17" t="s">
        <v>103</v>
      </c>
    </row>
    <row r="16" customFormat="false" ht="15" hidden="false" customHeight="false" outlineLevel="0" collapsed="false">
      <c r="A16" s="18" t="s">
        <v>2586</v>
      </c>
      <c r="B16" s="18" t="n">
        <v>6</v>
      </c>
      <c r="C16" s="18" t="s">
        <v>1971</v>
      </c>
      <c r="D16" s="18" t="s">
        <v>2604</v>
      </c>
      <c r="E16" s="18" t="s">
        <v>2582</v>
      </c>
      <c r="F16" s="18" t="s">
        <v>2605</v>
      </c>
      <c r="G16" s="18" t="s">
        <v>2606</v>
      </c>
      <c r="H16" s="18" t="s">
        <v>2607</v>
      </c>
      <c r="I16" s="18" t="s">
        <v>103</v>
      </c>
    </row>
    <row r="17" customFormat="false" ht="15" hidden="false" customHeight="false" outlineLevel="0" collapsed="false">
      <c r="A17" s="17" t="s">
        <v>2608</v>
      </c>
      <c r="B17" s="17" t="n">
        <v>1</v>
      </c>
      <c r="C17" s="17" t="s">
        <v>1971</v>
      </c>
      <c r="D17" s="17" t="s">
        <v>2609</v>
      </c>
      <c r="E17" s="17" t="s">
        <v>2582</v>
      </c>
      <c r="F17" s="17" t="s">
        <v>2610</v>
      </c>
      <c r="G17" s="17" t="s">
        <v>2562</v>
      </c>
      <c r="H17" s="17" t="s">
        <v>2611</v>
      </c>
      <c r="I17" s="17" t="s">
        <v>103</v>
      </c>
    </row>
    <row r="18" customFormat="false" ht="15" hidden="false" customHeight="false" outlineLevel="0" collapsed="false">
      <c r="A18" s="18" t="s">
        <v>2608</v>
      </c>
      <c r="B18" s="18" t="n">
        <v>2</v>
      </c>
      <c r="C18" s="18" t="s">
        <v>2580</v>
      </c>
      <c r="D18" s="18" t="s">
        <v>2612</v>
      </c>
      <c r="E18" s="18" t="s">
        <v>2378</v>
      </c>
      <c r="F18" s="18" t="s">
        <v>2613</v>
      </c>
      <c r="G18" s="18" t="s">
        <v>2566</v>
      </c>
      <c r="H18" s="18" t="s">
        <v>2614</v>
      </c>
      <c r="I18" s="18" t="s">
        <v>103</v>
      </c>
    </row>
    <row r="19" customFormat="false" ht="15" hidden="false" customHeight="false" outlineLevel="0" collapsed="false">
      <c r="A19" s="17" t="s">
        <v>2608</v>
      </c>
      <c r="B19" s="17" t="n">
        <v>3</v>
      </c>
      <c r="C19" s="17" t="s">
        <v>1971</v>
      </c>
      <c r="D19" s="17" t="s">
        <v>2615</v>
      </c>
      <c r="E19" s="17" t="s">
        <v>2378</v>
      </c>
      <c r="F19" s="17" t="s">
        <v>2616</v>
      </c>
      <c r="G19" s="17" t="s">
        <v>2570</v>
      </c>
      <c r="H19" s="17" t="s">
        <v>2617</v>
      </c>
      <c r="I19" s="17" t="s">
        <v>103</v>
      </c>
    </row>
    <row r="20" customFormat="false" ht="15" hidden="false" customHeight="false" outlineLevel="0" collapsed="false">
      <c r="A20" s="18" t="s">
        <v>2608</v>
      </c>
      <c r="B20" s="18" t="n">
        <v>4</v>
      </c>
      <c r="C20" s="18" t="s">
        <v>1971</v>
      </c>
      <c r="D20" s="18" t="s">
        <v>2618</v>
      </c>
      <c r="E20" s="18" t="s">
        <v>2378</v>
      </c>
      <c r="F20" s="18" t="s">
        <v>2619</v>
      </c>
      <c r="G20" s="18" t="s">
        <v>2574</v>
      </c>
      <c r="H20" s="18" t="s">
        <v>2620</v>
      </c>
      <c r="I20" s="18" t="s">
        <v>103</v>
      </c>
    </row>
    <row r="21" customFormat="false" ht="15" hidden="false" customHeight="false" outlineLevel="0" collapsed="false">
      <c r="A21" s="17" t="s">
        <v>2608</v>
      </c>
      <c r="B21" s="17" t="n">
        <v>5</v>
      </c>
      <c r="C21" s="17" t="s">
        <v>1971</v>
      </c>
      <c r="D21" s="17" t="s">
        <v>2621</v>
      </c>
      <c r="E21" s="17" t="s">
        <v>2378</v>
      </c>
      <c r="F21" s="17" t="s">
        <v>2622</v>
      </c>
      <c r="G21" s="17" t="s">
        <v>2623</v>
      </c>
      <c r="H21" s="17" t="s">
        <v>2624</v>
      </c>
      <c r="I21" s="17" t="s">
        <v>103</v>
      </c>
    </row>
    <row r="22" customFormat="false" ht="15" hidden="false" customHeight="false" outlineLevel="0" collapsed="false">
      <c r="A22" s="18" t="s">
        <v>2625</v>
      </c>
      <c r="B22" s="18" t="n">
        <v>1</v>
      </c>
      <c r="C22" s="18" t="s">
        <v>1971</v>
      </c>
      <c r="D22" s="18" t="s">
        <v>2626</v>
      </c>
      <c r="E22" s="18" t="s">
        <v>2627</v>
      </c>
      <c r="F22" s="18" t="s">
        <v>2628</v>
      </c>
      <c r="G22" s="18" t="s">
        <v>2562</v>
      </c>
      <c r="H22" s="18" t="s">
        <v>2629</v>
      </c>
      <c r="I22" s="18" t="s">
        <v>103</v>
      </c>
    </row>
    <row r="23" customFormat="false" ht="15" hidden="false" customHeight="false" outlineLevel="0" collapsed="false">
      <c r="A23" s="17" t="s">
        <v>2625</v>
      </c>
      <c r="B23" s="17" t="n">
        <v>2</v>
      </c>
      <c r="C23" s="17" t="s">
        <v>2580</v>
      </c>
      <c r="D23" s="17" t="s">
        <v>2630</v>
      </c>
      <c r="E23" s="17" t="s">
        <v>1947</v>
      </c>
      <c r="F23" s="17" t="s">
        <v>2631</v>
      </c>
      <c r="G23" s="17" t="s">
        <v>2566</v>
      </c>
      <c r="H23" s="17" t="s">
        <v>2632</v>
      </c>
      <c r="I23" s="17" t="s">
        <v>103</v>
      </c>
    </row>
    <row r="24" customFormat="false" ht="15" hidden="false" customHeight="false" outlineLevel="0" collapsed="false">
      <c r="A24" s="18" t="s">
        <v>2625</v>
      </c>
      <c r="B24" s="18" t="n">
        <v>3</v>
      </c>
      <c r="C24" s="18" t="s">
        <v>1971</v>
      </c>
      <c r="D24" s="18" t="s">
        <v>2633</v>
      </c>
      <c r="E24" s="18" t="s">
        <v>2634</v>
      </c>
      <c r="F24" s="18" t="s">
        <v>2635</v>
      </c>
      <c r="G24" s="18" t="s">
        <v>2570</v>
      </c>
      <c r="H24" s="18" t="s">
        <v>2636</v>
      </c>
      <c r="I24" s="18" t="s">
        <v>103</v>
      </c>
    </row>
    <row r="25" customFormat="false" ht="15" hidden="false" customHeight="false" outlineLevel="0" collapsed="false">
      <c r="A25" s="17" t="s">
        <v>2625</v>
      </c>
      <c r="B25" s="17" t="n">
        <v>4</v>
      </c>
      <c r="C25" s="17" t="s">
        <v>2580</v>
      </c>
      <c r="D25" s="17" t="s">
        <v>2637</v>
      </c>
      <c r="E25" s="17" t="s">
        <v>2378</v>
      </c>
      <c r="F25" s="17" t="s">
        <v>2638</v>
      </c>
      <c r="G25" s="17" t="s">
        <v>2574</v>
      </c>
      <c r="H25" s="17" t="s">
        <v>2639</v>
      </c>
      <c r="I25" s="17" t="s">
        <v>103</v>
      </c>
    </row>
    <row r="26" customFormat="false" ht="15" hidden="false" customHeight="false" outlineLevel="0" collapsed="false">
      <c r="A26" s="18" t="s">
        <v>2625</v>
      </c>
      <c r="B26" s="18" t="n">
        <v>5</v>
      </c>
      <c r="C26" s="18" t="s">
        <v>1971</v>
      </c>
      <c r="D26" s="18" t="s">
        <v>2640</v>
      </c>
      <c r="E26" s="18" t="s">
        <v>1078</v>
      </c>
      <c r="F26" s="18" t="s">
        <v>2641</v>
      </c>
      <c r="G26" s="18" t="s">
        <v>2642</v>
      </c>
      <c r="H26" s="18" t="s">
        <v>2643</v>
      </c>
      <c r="I26" s="18" t="s">
        <v>103</v>
      </c>
    </row>
    <row r="27" customFormat="false" ht="15" hidden="false" customHeight="false" outlineLevel="0" collapsed="false">
      <c r="A27" s="17" t="s">
        <v>2644</v>
      </c>
      <c r="B27" s="17" t="n">
        <v>1</v>
      </c>
      <c r="C27" s="17" t="s">
        <v>1971</v>
      </c>
      <c r="D27" s="17" t="s">
        <v>2645</v>
      </c>
      <c r="E27" s="17" t="s">
        <v>2378</v>
      </c>
      <c r="F27" s="17" t="s">
        <v>2646</v>
      </c>
      <c r="G27" s="17" t="s">
        <v>2562</v>
      </c>
      <c r="H27" s="17" t="s">
        <v>2647</v>
      </c>
      <c r="I27" s="17" t="s">
        <v>103</v>
      </c>
    </row>
    <row r="28" customFormat="false" ht="15" hidden="false" customHeight="false" outlineLevel="0" collapsed="false">
      <c r="A28" s="18" t="s">
        <v>2644</v>
      </c>
      <c r="B28" s="18" t="n">
        <v>2</v>
      </c>
      <c r="C28" s="18" t="s">
        <v>1971</v>
      </c>
      <c r="D28" s="18" t="s">
        <v>2648</v>
      </c>
      <c r="E28" s="18" t="s">
        <v>2649</v>
      </c>
      <c r="F28" s="18" t="s">
        <v>2650</v>
      </c>
      <c r="G28" s="18" t="s">
        <v>2566</v>
      </c>
      <c r="H28" s="18" t="s">
        <v>2651</v>
      </c>
      <c r="I28" s="18" t="s">
        <v>103</v>
      </c>
    </row>
    <row r="29" customFormat="false" ht="15" hidden="false" customHeight="false" outlineLevel="0" collapsed="false">
      <c r="A29" s="17" t="s">
        <v>2644</v>
      </c>
      <c r="B29" s="17" t="n">
        <v>3</v>
      </c>
      <c r="C29" s="17" t="s">
        <v>1971</v>
      </c>
      <c r="D29" s="17" t="s">
        <v>2652</v>
      </c>
      <c r="E29" s="17" t="s">
        <v>2649</v>
      </c>
      <c r="F29" s="17" t="s">
        <v>2653</v>
      </c>
      <c r="G29" s="17" t="s">
        <v>2570</v>
      </c>
      <c r="H29" s="17" t="s">
        <v>2654</v>
      </c>
      <c r="I29" s="17" t="s">
        <v>103</v>
      </c>
    </row>
    <row r="30" customFormat="false" ht="15" hidden="false" customHeight="false" outlineLevel="0" collapsed="false">
      <c r="A30" s="18" t="s">
        <v>2644</v>
      </c>
      <c r="B30" s="18" t="n">
        <v>4</v>
      </c>
      <c r="C30" s="18" t="s">
        <v>1971</v>
      </c>
      <c r="D30" s="18" t="s">
        <v>2655</v>
      </c>
      <c r="E30" s="18" t="s">
        <v>2649</v>
      </c>
      <c r="F30" s="18" t="s">
        <v>2656</v>
      </c>
      <c r="G30" s="18" t="s">
        <v>2574</v>
      </c>
      <c r="H30" s="18" t="s">
        <v>2657</v>
      </c>
      <c r="I30" s="18" t="s">
        <v>103</v>
      </c>
    </row>
    <row r="31" customFormat="false" ht="15" hidden="false" customHeight="false" outlineLevel="0" collapsed="false">
      <c r="A31" s="17" t="s">
        <v>2644</v>
      </c>
      <c r="B31" s="17" t="n">
        <v>5</v>
      </c>
      <c r="C31" s="17" t="s">
        <v>2580</v>
      </c>
      <c r="D31" s="17" t="s">
        <v>2658</v>
      </c>
      <c r="E31" s="17" t="s">
        <v>1947</v>
      </c>
      <c r="F31" s="17" t="s">
        <v>2659</v>
      </c>
      <c r="G31" s="17" t="s">
        <v>2578</v>
      </c>
      <c r="H31" s="17" t="s">
        <v>2660</v>
      </c>
      <c r="I31" s="17" t="s">
        <v>103</v>
      </c>
    </row>
    <row r="32" customFormat="false" ht="15" hidden="false" customHeight="false" outlineLevel="0" collapsed="false">
      <c r="A32" s="18" t="s">
        <v>2644</v>
      </c>
      <c r="B32" s="18" t="n">
        <v>6</v>
      </c>
      <c r="C32" s="18" t="s">
        <v>2580</v>
      </c>
      <c r="D32" s="18" t="s">
        <v>2661</v>
      </c>
      <c r="E32" s="18" t="s">
        <v>2378</v>
      </c>
      <c r="F32" s="18" t="s">
        <v>2662</v>
      </c>
      <c r="G32" s="18" t="s">
        <v>2642</v>
      </c>
      <c r="H32" s="18" t="s">
        <v>2663</v>
      </c>
      <c r="I32" s="18" t="s">
        <v>103</v>
      </c>
    </row>
    <row r="33" customFormat="false" ht="15" hidden="false" customHeight="false" outlineLevel="0" collapsed="false">
      <c r="A33" s="17" t="s">
        <v>2664</v>
      </c>
      <c r="B33" s="17" t="n">
        <v>1</v>
      </c>
      <c r="C33" s="17" t="s">
        <v>1971</v>
      </c>
      <c r="D33" s="17" t="s">
        <v>2665</v>
      </c>
      <c r="E33" s="17" t="s">
        <v>2666</v>
      </c>
      <c r="F33" s="17" t="s">
        <v>2667</v>
      </c>
      <c r="G33" s="17" t="s">
        <v>2562</v>
      </c>
      <c r="H33" s="17" t="s">
        <v>2668</v>
      </c>
      <c r="I33" s="17" t="s">
        <v>103</v>
      </c>
    </row>
    <row r="34" customFormat="false" ht="15" hidden="false" customHeight="false" outlineLevel="0" collapsed="false">
      <c r="A34" s="18" t="s">
        <v>2664</v>
      </c>
      <c r="B34" s="18" t="n">
        <v>2</v>
      </c>
      <c r="C34" s="18" t="s">
        <v>2580</v>
      </c>
      <c r="D34" s="18" t="s">
        <v>2669</v>
      </c>
      <c r="E34" s="18" t="s">
        <v>1947</v>
      </c>
      <c r="F34" s="18" t="s">
        <v>2670</v>
      </c>
      <c r="G34" s="18" t="s">
        <v>2566</v>
      </c>
      <c r="H34" s="18" t="s">
        <v>2671</v>
      </c>
      <c r="I34" s="18" t="s">
        <v>103</v>
      </c>
    </row>
    <row r="35" customFormat="false" ht="15" hidden="false" customHeight="false" outlineLevel="0" collapsed="false">
      <c r="A35" s="17" t="s">
        <v>2664</v>
      </c>
      <c r="B35" s="17" t="n">
        <v>3</v>
      </c>
      <c r="C35" s="17" t="s">
        <v>1971</v>
      </c>
      <c r="D35" s="17" t="s">
        <v>2672</v>
      </c>
      <c r="E35" s="17" t="s">
        <v>2673</v>
      </c>
      <c r="F35" s="17" t="s">
        <v>2674</v>
      </c>
      <c r="G35" s="17" t="s">
        <v>2570</v>
      </c>
      <c r="H35" s="17" t="s">
        <v>2675</v>
      </c>
      <c r="I35" s="17" t="s">
        <v>103</v>
      </c>
    </row>
    <row r="36" customFormat="false" ht="15" hidden="false" customHeight="false" outlineLevel="0" collapsed="false">
      <c r="A36" s="18" t="s">
        <v>2664</v>
      </c>
      <c r="B36" s="18" t="n">
        <v>4</v>
      </c>
      <c r="C36" s="18" t="s">
        <v>2580</v>
      </c>
      <c r="D36" s="18" t="s">
        <v>2676</v>
      </c>
      <c r="E36" s="18" t="s">
        <v>1947</v>
      </c>
      <c r="F36" s="18" t="s">
        <v>2677</v>
      </c>
      <c r="G36" s="18" t="s">
        <v>2642</v>
      </c>
      <c r="H36" s="18" t="s">
        <v>2678</v>
      </c>
      <c r="I36" s="18" t="s">
        <v>103</v>
      </c>
    </row>
    <row r="37" customFormat="false" ht="15" hidden="false" customHeight="false" outlineLevel="0" collapsed="false">
      <c r="A37" s="17" t="s">
        <v>2679</v>
      </c>
      <c r="B37" s="17" t="n">
        <v>1</v>
      </c>
      <c r="C37" s="17" t="s">
        <v>2680</v>
      </c>
      <c r="D37" s="17" t="s">
        <v>2681</v>
      </c>
      <c r="E37" s="17" t="s">
        <v>2682</v>
      </c>
      <c r="F37" s="17" t="s">
        <v>2683</v>
      </c>
      <c r="G37" s="17" t="s">
        <v>2562</v>
      </c>
      <c r="H37" s="17" t="s">
        <v>2684</v>
      </c>
      <c r="I37" s="17" t="s">
        <v>103</v>
      </c>
    </row>
    <row r="38" customFormat="false" ht="15" hidden="false" customHeight="false" outlineLevel="0" collapsed="false">
      <c r="A38" s="18" t="s">
        <v>2679</v>
      </c>
      <c r="B38" s="18" t="n">
        <v>2</v>
      </c>
      <c r="C38" s="18" t="s">
        <v>2680</v>
      </c>
      <c r="D38" s="18" t="s">
        <v>2685</v>
      </c>
      <c r="E38" s="18" t="s">
        <v>2686</v>
      </c>
      <c r="F38" s="18" t="s">
        <v>2687</v>
      </c>
      <c r="G38" s="18" t="s">
        <v>2566</v>
      </c>
      <c r="H38" s="18" t="s">
        <v>2688</v>
      </c>
      <c r="I38" s="18" t="s">
        <v>103</v>
      </c>
    </row>
    <row r="39" customFormat="false" ht="15" hidden="false" customHeight="false" outlineLevel="0" collapsed="false">
      <c r="A39" s="17" t="s">
        <v>2679</v>
      </c>
      <c r="B39" s="17" t="n">
        <v>3</v>
      </c>
      <c r="C39" s="17" t="s">
        <v>2680</v>
      </c>
      <c r="D39" s="17" t="s">
        <v>2655</v>
      </c>
      <c r="E39" s="17" t="s">
        <v>2686</v>
      </c>
      <c r="F39" s="17" t="s">
        <v>2689</v>
      </c>
      <c r="G39" s="17" t="s">
        <v>2570</v>
      </c>
      <c r="H39" s="17" t="s">
        <v>2690</v>
      </c>
      <c r="I39" s="17" t="s">
        <v>103</v>
      </c>
    </row>
    <row r="40" customFormat="false" ht="15" hidden="false" customHeight="false" outlineLevel="0" collapsed="false">
      <c r="A40" s="18" t="s">
        <v>2679</v>
      </c>
      <c r="B40" s="18" t="n">
        <v>4</v>
      </c>
      <c r="C40" s="18" t="s">
        <v>2680</v>
      </c>
      <c r="D40" s="18" t="s">
        <v>2691</v>
      </c>
      <c r="E40" s="18" t="s">
        <v>2686</v>
      </c>
      <c r="F40" s="18" t="s">
        <v>2692</v>
      </c>
      <c r="G40" s="18" t="s">
        <v>2693</v>
      </c>
      <c r="H40" s="18" t="s">
        <v>2694</v>
      </c>
      <c r="I40" s="18" t="s">
        <v>103</v>
      </c>
    </row>
    <row r="41" customFormat="false" ht="15" hidden="false" customHeight="false" outlineLevel="0" collapsed="false">
      <c r="A41" s="17" t="s">
        <v>2695</v>
      </c>
      <c r="B41" s="17" t="n">
        <v>1</v>
      </c>
      <c r="C41" s="17" t="s">
        <v>2680</v>
      </c>
      <c r="D41" s="17" t="s">
        <v>2696</v>
      </c>
      <c r="E41" s="17" t="s">
        <v>2697</v>
      </c>
      <c r="F41" s="17" t="s">
        <v>2698</v>
      </c>
      <c r="G41" s="17" t="s">
        <v>2562</v>
      </c>
      <c r="H41" s="17" t="s">
        <v>2699</v>
      </c>
      <c r="I41" s="17" t="s">
        <v>103</v>
      </c>
    </row>
    <row r="42" customFormat="false" ht="15" hidden="false" customHeight="false" outlineLevel="0" collapsed="false">
      <c r="A42" s="18" t="s">
        <v>2695</v>
      </c>
      <c r="B42" s="18" t="n">
        <v>2</v>
      </c>
      <c r="C42" s="18" t="s">
        <v>2680</v>
      </c>
      <c r="D42" s="18" t="s">
        <v>2700</v>
      </c>
      <c r="E42" s="18" t="s">
        <v>2701</v>
      </c>
      <c r="F42" s="18" t="s">
        <v>2702</v>
      </c>
      <c r="G42" s="18" t="s">
        <v>2566</v>
      </c>
      <c r="H42" s="18" t="s">
        <v>2703</v>
      </c>
      <c r="I42" s="18" t="s">
        <v>103</v>
      </c>
    </row>
    <row r="43" customFormat="false" ht="15" hidden="false" customHeight="false" outlineLevel="0" collapsed="false">
      <c r="A43" s="17" t="s">
        <v>2695</v>
      </c>
      <c r="B43" s="17" t="n">
        <v>3</v>
      </c>
      <c r="C43" s="17" t="s">
        <v>2680</v>
      </c>
      <c r="D43" s="17" t="s">
        <v>2704</v>
      </c>
      <c r="E43" s="17" t="s">
        <v>2705</v>
      </c>
      <c r="F43" s="17" t="s">
        <v>2706</v>
      </c>
      <c r="G43" s="17" t="s">
        <v>2570</v>
      </c>
      <c r="H43" s="17" t="s">
        <v>2707</v>
      </c>
      <c r="I43" s="17" t="s">
        <v>103</v>
      </c>
    </row>
    <row r="44" customFormat="false" ht="15" hidden="false" customHeight="false" outlineLevel="0" collapsed="false">
      <c r="A44" s="18" t="s">
        <v>2695</v>
      </c>
      <c r="B44" s="18" t="n">
        <v>4</v>
      </c>
      <c r="C44" s="18" t="s">
        <v>2680</v>
      </c>
      <c r="D44" s="18" t="s">
        <v>2708</v>
      </c>
      <c r="E44" s="18" t="s">
        <v>2709</v>
      </c>
      <c r="F44" s="18" t="s">
        <v>2710</v>
      </c>
      <c r="G44" s="18" t="s">
        <v>2574</v>
      </c>
      <c r="H44" s="18" t="s">
        <v>2711</v>
      </c>
      <c r="I44" s="18" t="s">
        <v>103</v>
      </c>
    </row>
    <row r="45" customFormat="false" ht="15" hidden="false" customHeight="false" outlineLevel="0" collapsed="false">
      <c r="A45" s="17" t="s">
        <v>2695</v>
      </c>
      <c r="B45" s="17" t="n">
        <v>5</v>
      </c>
      <c r="C45" s="17" t="s">
        <v>2680</v>
      </c>
      <c r="D45" s="17" t="s">
        <v>2712</v>
      </c>
      <c r="E45" s="17" t="s">
        <v>2709</v>
      </c>
      <c r="F45" s="17" t="s">
        <v>2713</v>
      </c>
      <c r="G45" s="17" t="s">
        <v>2714</v>
      </c>
      <c r="H45" s="17" t="s">
        <v>2715</v>
      </c>
      <c r="I45" s="17" t="s">
        <v>103</v>
      </c>
    </row>
    <row r="46" customFormat="false" ht="15" hidden="false" customHeight="false" outlineLevel="0" collapsed="false">
      <c r="A46" s="18" t="s">
        <v>2716</v>
      </c>
      <c r="B46" s="18" t="n">
        <v>1</v>
      </c>
      <c r="C46" s="18" t="s">
        <v>2680</v>
      </c>
      <c r="D46" s="18" t="s">
        <v>2717</v>
      </c>
      <c r="E46" s="18" t="s">
        <v>2718</v>
      </c>
      <c r="F46" s="18" t="s">
        <v>2719</v>
      </c>
      <c r="G46" s="18" t="s">
        <v>2562</v>
      </c>
      <c r="H46" s="18" t="s">
        <v>2720</v>
      </c>
      <c r="I46" s="18" t="s">
        <v>103</v>
      </c>
    </row>
    <row r="47" customFormat="false" ht="15" hidden="false" customHeight="false" outlineLevel="0" collapsed="false">
      <c r="A47" s="17" t="s">
        <v>2716</v>
      </c>
      <c r="B47" s="17" t="n">
        <v>2</v>
      </c>
      <c r="C47" s="17" t="s">
        <v>2680</v>
      </c>
      <c r="D47" s="17" t="s">
        <v>2721</v>
      </c>
      <c r="E47" s="17" t="s">
        <v>2722</v>
      </c>
      <c r="F47" s="17" t="s">
        <v>2723</v>
      </c>
      <c r="G47" s="17" t="s">
        <v>2566</v>
      </c>
      <c r="H47" s="17" t="s">
        <v>2724</v>
      </c>
      <c r="I47" s="17" t="s">
        <v>103</v>
      </c>
    </row>
    <row r="48" customFormat="false" ht="15" hidden="false" customHeight="false" outlineLevel="0" collapsed="false">
      <c r="A48" s="18" t="s">
        <v>2716</v>
      </c>
      <c r="B48" s="18" t="n">
        <v>3</v>
      </c>
      <c r="C48" s="18" t="s">
        <v>2680</v>
      </c>
      <c r="D48" s="18" t="s">
        <v>2725</v>
      </c>
      <c r="E48" s="18" t="s">
        <v>2726</v>
      </c>
      <c r="F48" s="18" t="s">
        <v>2727</v>
      </c>
      <c r="G48" s="18" t="s">
        <v>2728</v>
      </c>
      <c r="H48" s="18" t="s">
        <v>2729</v>
      </c>
      <c r="I48" s="18" t="s">
        <v>103</v>
      </c>
    </row>
    <row r="49" customFormat="false" ht="15" hidden="false" customHeight="false" outlineLevel="0" collapsed="false">
      <c r="A49" s="17" t="s">
        <v>2730</v>
      </c>
      <c r="B49" s="17" t="n">
        <v>1</v>
      </c>
      <c r="C49" s="17" t="s">
        <v>2680</v>
      </c>
      <c r="D49" s="17" t="s">
        <v>2731</v>
      </c>
      <c r="E49" s="17" t="s">
        <v>2732</v>
      </c>
      <c r="F49" s="17" t="s">
        <v>2733</v>
      </c>
      <c r="G49" s="17" t="s">
        <v>2562</v>
      </c>
      <c r="H49" s="17" t="s">
        <v>2734</v>
      </c>
      <c r="I49" s="17" t="s">
        <v>103</v>
      </c>
    </row>
    <row r="50" customFormat="false" ht="15" hidden="false" customHeight="false" outlineLevel="0" collapsed="false">
      <c r="A50" s="18" t="s">
        <v>2730</v>
      </c>
      <c r="B50" s="18" t="n">
        <v>2</v>
      </c>
      <c r="C50" s="18" t="s">
        <v>2680</v>
      </c>
      <c r="D50" s="18" t="s">
        <v>2735</v>
      </c>
      <c r="E50" s="18" t="s">
        <v>2732</v>
      </c>
      <c r="F50" s="18" t="s">
        <v>2736</v>
      </c>
      <c r="G50" s="18" t="s">
        <v>2566</v>
      </c>
      <c r="H50" s="18" t="s">
        <v>2737</v>
      </c>
      <c r="I50" s="18" t="s">
        <v>103</v>
      </c>
    </row>
    <row r="51" customFormat="false" ht="15" hidden="false" customHeight="false" outlineLevel="0" collapsed="false">
      <c r="A51" s="17" t="s">
        <v>2730</v>
      </c>
      <c r="B51" s="17" t="n">
        <v>3</v>
      </c>
      <c r="C51" s="17" t="s">
        <v>2580</v>
      </c>
      <c r="D51" s="17" t="s">
        <v>2738</v>
      </c>
      <c r="E51" s="17" t="s">
        <v>1947</v>
      </c>
      <c r="F51" s="17" t="s">
        <v>2739</v>
      </c>
      <c r="G51" s="17" t="s">
        <v>2570</v>
      </c>
      <c r="H51" s="17" t="s">
        <v>2740</v>
      </c>
      <c r="I51" s="17" t="s">
        <v>103</v>
      </c>
    </row>
    <row r="52" customFormat="false" ht="15" hidden="false" customHeight="false" outlineLevel="0" collapsed="false">
      <c r="A52" s="18" t="s">
        <v>2730</v>
      </c>
      <c r="B52" s="18" t="n">
        <v>4</v>
      </c>
      <c r="C52" s="18" t="s">
        <v>2680</v>
      </c>
      <c r="D52" s="18" t="s">
        <v>2741</v>
      </c>
      <c r="E52" s="18" t="s">
        <v>2732</v>
      </c>
      <c r="F52" s="18" t="s">
        <v>2742</v>
      </c>
      <c r="G52" s="18" t="s">
        <v>2743</v>
      </c>
      <c r="H52" s="18" t="s">
        <v>2744</v>
      </c>
      <c r="I52" s="18" t="s">
        <v>103</v>
      </c>
    </row>
    <row r="53" customFormat="false" ht="15" hidden="false" customHeight="false" outlineLevel="0" collapsed="false">
      <c r="A53" s="17" t="s">
        <v>2730</v>
      </c>
      <c r="B53" s="17" t="n">
        <v>5</v>
      </c>
      <c r="C53" s="17" t="s">
        <v>2580</v>
      </c>
      <c r="D53" s="17" t="s">
        <v>2745</v>
      </c>
      <c r="E53" s="17" t="s">
        <v>1947</v>
      </c>
      <c r="F53" s="17" t="s">
        <v>2746</v>
      </c>
      <c r="G53" s="17" t="s">
        <v>2743</v>
      </c>
      <c r="H53" s="17" t="s">
        <v>2747</v>
      </c>
      <c r="I53" s="17" t="s">
        <v>103</v>
      </c>
    </row>
    <row r="54" customFormat="false" ht="15" hidden="false" customHeight="false" outlineLevel="0" collapsed="false">
      <c r="A54" s="18" t="s">
        <v>2748</v>
      </c>
      <c r="B54" s="18" t="n">
        <v>1</v>
      </c>
      <c r="C54" s="18" t="s">
        <v>2680</v>
      </c>
      <c r="D54" s="18" t="s">
        <v>2749</v>
      </c>
      <c r="E54" s="18" t="s">
        <v>2726</v>
      </c>
      <c r="F54" s="18" t="s">
        <v>2750</v>
      </c>
      <c r="G54" s="18" t="s">
        <v>2562</v>
      </c>
      <c r="H54" s="18" t="s">
        <v>2751</v>
      </c>
      <c r="I54" s="18" t="s">
        <v>103</v>
      </c>
    </row>
    <row r="55" customFormat="false" ht="15" hidden="false" customHeight="false" outlineLevel="0" collapsed="false">
      <c r="A55" s="17" t="s">
        <v>2748</v>
      </c>
      <c r="B55" s="17" t="n">
        <v>2</v>
      </c>
      <c r="C55" s="17" t="s">
        <v>2680</v>
      </c>
      <c r="D55" s="17" t="s">
        <v>2752</v>
      </c>
      <c r="E55" s="17" t="s">
        <v>2753</v>
      </c>
      <c r="F55" s="17" t="s">
        <v>2754</v>
      </c>
      <c r="G55" s="17" t="s">
        <v>2566</v>
      </c>
      <c r="H55" s="17" t="s">
        <v>2755</v>
      </c>
      <c r="I55" s="17" t="s">
        <v>103</v>
      </c>
    </row>
    <row r="56" customFormat="false" ht="15" hidden="false" customHeight="false" outlineLevel="0" collapsed="false">
      <c r="A56" s="18" t="s">
        <v>2748</v>
      </c>
      <c r="B56" s="18" t="n">
        <v>3</v>
      </c>
      <c r="C56" s="18" t="s">
        <v>2680</v>
      </c>
      <c r="D56" s="18" t="s">
        <v>2756</v>
      </c>
      <c r="E56" s="18" t="s">
        <v>2753</v>
      </c>
      <c r="F56" s="18" t="s">
        <v>2757</v>
      </c>
      <c r="G56" s="18" t="s">
        <v>2758</v>
      </c>
      <c r="H56" s="18" t="s">
        <v>2759</v>
      </c>
      <c r="I56" s="18" t="s">
        <v>103</v>
      </c>
    </row>
    <row r="57" customFormat="false" ht="15" hidden="false" customHeight="false" outlineLevel="0" collapsed="false">
      <c r="A57" s="17" t="s">
        <v>2760</v>
      </c>
      <c r="B57" s="17" t="n">
        <v>1</v>
      </c>
      <c r="C57" s="17" t="s">
        <v>2680</v>
      </c>
      <c r="D57" s="17" t="s">
        <v>2761</v>
      </c>
      <c r="E57" s="17" t="s">
        <v>2753</v>
      </c>
      <c r="F57" s="17" t="s">
        <v>2762</v>
      </c>
      <c r="G57" s="17" t="s">
        <v>2562</v>
      </c>
      <c r="H57" s="17" t="s">
        <v>2763</v>
      </c>
      <c r="I57" s="17" t="s">
        <v>103</v>
      </c>
    </row>
    <row r="58" customFormat="false" ht="15" hidden="false" customHeight="false" outlineLevel="0" collapsed="false">
      <c r="A58" s="18" t="s">
        <v>2760</v>
      </c>
      <c r="B58" s="18" t="n">
        <v>2</v>
      </c>
      <c r="C58" s="18" t="s">
        <v>2580</v>
      </c>
      <c r="D58" s="18" t="s">
        <v>2764</v>
      </c>
      <c r="E58" s="18" t="s">
        <v>1947</v>
      </c>
      <c r="F58" s="18" t="s">
        <v>2765</v>
      </c>
      <c r="G58" s="18" t="s">
        <v>2566</v>
      </c>
      <c r="H58" s="18" t="s">
        <v>2766</v>
      </c>
      <c r="I58" s="18" t="s">
        <v>103</v>
      </c>
    </row>
    <row r="59" customFormat="false" ht="15" hidden="false" customHeight="false" outlineLevel="0" collapsed="false">
      <c r="A59" s="17" t="s">
        <v>2760</v>
      </c>
      <c r="B59" s="17" t="n">
        <v>3</v>
      </c>
      <c r="C59" s="17" t="s">
        <v>2580</v>
      </c>
      <c r="D59" s="17" t="s">
        <v>2767</v>
      </c>
      <c r="E59" s="17" t="s">
        <v>1947</v>
      </c>
      <c r="F59" s="17" t="s">
        <v>2768</v>
      </c>
      <c r="G59" s="17" t="s">
        <v>2570</v>
      </c>
      <c r="H59" s="17" t="s">
        <v>2769</v>
      </c>
      <c r="I59" s="17" t="s">
        <v>103</v>
      </c>
    </row>
    <row r="60" customFormat="false" ht="15" hidden="false" customHeight="false" outlineLevel="0" collapsed="false">
      <c r="A60" s="18" t="s">
        <v>2760</v>
      </c>
      <c r="B60" s="18" t="n">
        <v>4</v>
      </c>
      <c r="C60" s="18" t="s">
        <v>2015</v>
      </c>
      <c r="D60" s="18" t="s">
        <v>2770</v>
      </c>
      <c r="E60" s="18" t="s">
        <v>2771</v>
      </c>
      <c r="F60" s="18" t="s">
        <v>2772</v>
      </c>
      <c r="G60" s="18" t="s">
        <v>2574</v>
      </c>
      <c r="H60" s="18" t="s">
        <v>2773</v>
      </c>
      <c r="I60" s="18" t="s">
        <v>103</v>
      </c>
    </row>
    <row r="61" customFormat="false" ht="15" hidden="false" customHeight="false" outlineLevel="0" collapsed="false">
      <c r="A61" s="17" t="s">
        <v>2760</v>
      </c>
      <c r="B61" s="17" t="n">
        <v>5</v>
      </c>
      <c r="C61" s="17" t="s">
        <v>2580</v>
      </c>
      <c r="D61" s="17" t="s">
        <v>2774</v>
      </c>
      <c r="E61" s="17" t="s">
        <v>1947</v>
      </c>
      <c r="F61" s="17" t="s">
        <v>2775</v>
      </c>
      <c r="G61" s="17" t="s">
        <v>2642</v>
      </c>
      <c r="H61" s="17" t="s">
        <v>2776</v>
      </c>
      <c r="I61" s="17" t="s">
        <v>103</v>
      </c>
    </row>
    <row r="62" customFormat="false" ht="15" hidden="false" customHeight="false" outlineLevel="0" collapsed="false">
      <c r="A62" s="18" t="s">
        <v>2777</v>
      </c>
      <c r="B62" s="18" t="n">
        <v>1</v>
      </c>
      <c r="C62" s="18" t="s">
        <v>2680</v>
      </c>
      <c r="D62" s="18" t="s">
        <v>2778</v>
      </c>
      <c r="E62" s="18" t="s">
        <v>2779</v>
      </c>
      <c r="F62" s="18" t="s">
        <v>2780</v>
      </c>
      <c r="G62" s="18" t="s">
        <v>2562</v>
      </c>
      <c r="H62" s="18" t="s">
        <v>2781</v>
      </c>
      <c r="I62" s="18" t="s">
        <v>103</v>
      </c>
    </row>
    <row r="63" customFormat="false" ht="15" hidden="false" customHeight="false" outlineLevel="0" collapsed="false">
      <c r="A63" s="17" t="s">
        <v>2777</v>
      </c>
      <c r="B63" s="17" t="n">
        <v>2</v>
      </c>
      <c r="C63" s="17" t="s">
        <v>2680</v>
      </c>
      <c r="D63" s="17" t="s">
        <v>2782</v>
      </c>
      <c r="E63" s="17" t="s">
        <v>2783</v>
      </c>
      <c r="F63" s="17" t="s">
        <v>2784</v>
      </c>
      <c r="G63" s="17" t="s">
        <v>2566</v>
      </c>
      <c r="H63" s="17" t="s">
        <v>2785</v>
      </c>
      <c r="I63" s="17" t="s">
        <v>103</v>
      </c>
    </row>
    <row r="64" customFormat="false" ht="15" hidden="false" customHeight="false" outlineLevel="0" collapsed="false">
      <c r="A64" s="18" t="s">
        <v>2777</v>
      </c>
      <c r="B64" s="18" t="n">
        <v>3</v>
      </c>
      <c r="C64" s="18" t="s">
        <v>2680</v>
      </c>
      <c r="D64" s="18" t="s">
        <v>2786</v>
      </c>
      <c r="E64" s="18" t="s">
        <v>1069</v>
      </c>
      <c r="F64" s="18" t="s">
        <v>2787</v>
      </c>
      <c r="G64" s="18" t="s">
        <v>2570</v>
      </c>
      <c r="H64" s="18" t="s">
        <v>2788</v>
      </c>
      <c r="I64" s="18" t="s">
        <v>103</v>
      </c>
    </row>
    <row r="65" customFormat="false" ht="15" hidden="false" customHeight="false" outlineLevel="0" collapsed="false">
      <c r="A65" s="17" t="s">
        <v>2777</v>
      </c>
      <c r="B65" s="17" t="n">
        <v>4</v>
      </c>
      <c r="C65" s="17" t="s">
        <v>2680</v>
      </c>
      <c r="D65" s="17" t="s">
        <v>2789</v>
      </c>
      <c r="E65" s="17" t="s">
        <v>1069</v>
      </c>
      <c r="F65" s="17" t="s">
        <v>2790</v>
      </c>
      <c r="G65" s="17" t="s">
        <v>2642</v>
      </c>
      <c r="H65" s="17" t="s">
        <v>2791</v>
      </c>
      <c r="I65" s="17" t="s">
        <v>103</v>
      </c>
    </row>
    <row r="66" customFormat="false" ht="15" hidden="false" customHeight="false" outlineLevel="0" collapsed="false">
      <c r="A66" s="18" t="s">
        <v>2792</v>
      </c>
      <c r="B66" s="18" t="n">
        <v>1</v>
      </c>
      <c r="C66" s="18" t="s">
        <v>2015</v>
      </c>
      <c r="D66" s="18" t="s">
        <v>2793</v>
      </c>
      <c r="E66" s="18" t="s">
        <v>2771</v>
      </c>
      <c r="F66" s="18" t="s">
        <v>2794</v>
      </c>
      <c r="G66" s="18" t="s">
        <v>2562</v>
      </c>
      <c r="H66" s="18" t="s">
        <v>2795</v>
      </c>
      <c r="I66" s="18" t="s">
        <v>103</v>
      </c>
    </row>
    <row r="67" customFormat="false" ht="15" hidden="false" customHeight="false" outlineLevel="0" collapsed="false">
      <c r="A67" s="17" t="s">
        <v>2792</v>
      </c>
      <c r="B67" s="17" t="n">
        <v>2</v>
      </c>
      <c r="C67" s="17" t="s">
        <v>2015</v>
      </c>
      <c r="D67" s="17" t="s">
        <v>2796</v>
      </c>
      <c r="E67" s="17" t="s">
        <v>2771</v>
      </c>
      <c r="F67" s="17" t="s">
        <v>2797</v>
      </c>
      <c r="G67" s="17" t="s">
        <v>2566</v>
      </c>
      <c r="H67" s="17" t="s">
        <v>2798</v>
      </c>
      <c r="I67" s="17" t="s">
        <v>103</v>
      </c>
    </row>
    <row r="68" customFormat="false" ht="15" hidden="false" customHeight="false" outlineLevel="0" collapsed="false">
      <c r="A68" s="18" t="s">
        <v>2792</v>
      </c>
      <c r="B68" s="18" t="n">
        <v>3</v>
      </c>
      <c r="C68" s="18" t="s">
        <v>2015</v>
      </c>
      <c r="D68" s="18" t="s">
        <v>2799</v>
      </c>
      <c r="E68" s="18" t="s">
        <v>2771</v>
      </c>
      <c r="F68" s="18" t="s">
        <v>2800</v>
      </c>
      <c r="G68" s="18" t="s">
        <v>2570</v>
      </c>
      <c r="H68" s="18" t="s">
        <v>2801</v>
      </c>
      <c r="I68" s="18" t="s">
        <v>103</v>
      </c>
    </row>
    <row r="69" customFormat="false" ht="15" hidden="false" customHeight="false" outlineLevel="0" collapsed="false">
      <c r="A69" s="17" t="s">
        <v>2792</v>
      </c>
      <c r="B69" s="17" t="n">
        <v>4</v>
      </c>
      <c r="C69" s="17" t="s">
        <v>2580</v>
      </c>
      <c r="D69" s="17" t="s">
        <v>2802</v>
      </c>
      <c r="E69" s="17" t="s">
        <v>1947</v>
      </c>
      <c r="F69" s="17" t="s">
        <v>2803</v>
      </c>
      <c r="G69" s="17" t="s">
        <v>2642</v>
      </c>
      <c r="H69" s="17" t="s">
        <v>2804</v>
      </c>
      <c r="I69" s="17" t="s">
        <v>103</v>
      </c>
    </row>
    <row r="70" customFormat="false" ht="15" hidden="false" customHeight="false" outlineLevel="0" collapsed="false">
      <c r="A70" s="18" t="s">
        <v>2805</v>
      </c>
      <c r="B70" s="18" t="n">
        <v>1</v>
      </c>
      <c r="C70" s="18" t="s">
        <v>1971</v>
      </c>
      <c r="D70" s="18" t="s">
        <v>2806</v>
      </c>
      <c r="E70" s="18" t="s">
        <v>2627</v>
      </c>
      <c r="F70" s="18" t="s">
        <v>2807</v>
      </c>
      <c r="G70" s="18" t="s">
        <v>2562</v>
      </c>
      <c r="H70" s="18" t="s">
        <v>2808</v>
      </c>
      <c r="I70" s="18" t="s">
        <v>103</v>
      </c>
    </row>
    <row r="71" customFormat="false" ht="15" hidden="false" customHeight="false" outlineLevel="0" collapsed="false">
      <c r="A71" s="17" t="s">
        <v>2805</v>
      </c>
      <c r="B71" s="17" t="n">
        <v>2</v>
      </c>
      <c r="C71" s="17" t="s">
        <v>2580</v>
      </c>
      <c r="D71" s="17" t="s">
        <v>2809</v>
      </c>
      <c r="E71" s="17" t="s">
        <v>1947</v>
      </c>
      <c r="F71" s="17" t="s">
        <v>2810</v>
      </c>
      <c r="G71" s="17" t="s">
        <v>2566</v>
      </c>
      <c r="H71" s="17" t="s">
        <v>2811</v>
      </c>
      <c r="I71" s="17" t="s">
        <v>103</v>
      </c>
    </row>
    <row r="72" customFormat="false" ht="15" hidden="false" customHeight="false" outlineLevel="0" collapsed="false">
      <c r="A72" s="18" t="s">
        <v>2805</v>
      </c>
      <c r="B72" s="18" t="n">
        <v>3</v>
      </c>
      <c r="C72" s="18" t="s">
        <v>2015</v>
      </c>
      <c r="D72" s="18" t="s">
        <v>2812</v>
      </c>
      <c r="E72" s="18" t="s">
        <v>2813</v>
      </c>
      <c r="F72" s="18" t="s">
        <v>2814</v>
      </c>
      <c r="G72" s="18" t="s">
        <v>2570</v>
      </c>
      <c r="H72" s="18" t="s">
        <v>2815</v>
      </c>
      <c r="I72" s="18" t="s">
        <v>103</v>
      </c>
    </row>
    <row r="73" customFormat="false" ht="15" hidden="false" customHeight="false" outlineLevel="0" collapsed="false">
      <c r="A73" s="17" t="s">
        <v>2805</v>
      </c>
      <c r="B73" s="17" t="n">
        <v>4</v>
      </c>
      <c r="C73" s="17" t="s">
        <v>2015</v>
      </c>
      <c r="D73" s="17" t="s">
        <v>2816</v>
      </c>
      <c r="E73" s="17" t="s">
        <v>2813</v>
      </c>
      <c r="F73" s="17" t="s">
        <v>2817</v>
      </c>
      <c r="G73" s="17" t="s">
        <v>2574</v>
      </c>
      <c r="H73" s="17" t="s">
        <v>2818</v>
      </c>
      <c r="I73" s="17" t="s">
        <v>103</v>
      </c>
    </row>
    <row r="74" customFormat="false" ht="15" hidden="false" customHeight="false" outlineLevel="0" collapsed="false">
      <c r="A74" s="18" t="s">
        <v>2805</v>
      </c>
      <c r="B74" s="18" t="n">
        <v>5</v>
      </c>
      <c r="C74" s="18" t="s">
        <v>2580</v>
      </c>
      <c r="D74" s="18" t="s">
        <v>2819</v>
      </c>
      <c r="E74" s="18" t="s">
        <v>1947</v>
      </c>
      <c r="F74" s="18" t="s">
        <v>2820</v>
      </c>
      <c r="G74" s="18" t="s">
        <v>2642</v>
      </c>
      <c r="H74" s="18" t="s">
        <v>2821</v>
      </c>
      <c r="I74" s="18" t="s">
        <v>103</v>
      </c>
    </row>
  </sheetData>
  <autoFilter ref="A4:I74"/>
  <mergeCells count="2">
    <mergeCell ref="A1:I1"/>
    <mergeCell ref="A2:I2"/>
  </mergeCells>
  <conditionalFormatting sqref="I5:I74">
    <cfRule type="expression" priority="2" aboveAverage="0" equalAverage="0" bottom="0" percent="0" rank="0" text="" dxfId="16">
      <formula>EXACT($I5,"NOT STARTED")</formula>
    </cfRule>
    <cfRule type="expression" priority="3" aboveAverage="0" equalAverage="0" bottom="0" percent="0" rank="0" text="" dxfId="17">
      <formula>EXACT($I5,"IN PROGRESS")</formula>
    </cfRule>
    <cfRule type="expression" priority="4" aboveAverage="0" equalAverage="0" bottom="0" percent="0" rank="0" text="" dxfId="18">
      <formula>EXACT($I5,"BLOCKED")</formula>
    </cfRule>
    <cfRule type="expression" priority="5" aboveAverage="0" equalAverage="0" bottom="0" percent="0" rank="0" text="" dxfId="19">
      <formula>EXACT($I5,"REVIEW")</formula>
    </cfRule>
    <cfRule type="expression" priority="6" aboveAverage="0" equalAverage="0" bottom="0" percent="0" rank="0" text="" dxfId="20">
      <formula>EXACT($I5,"DONE")</formula>
    </cfRule>
    <cfRule type="expression" priority="7" aboveAverage="0" equalAverage="0" bottom="0" percent="0" rank="0" text="" dxfId="21">
      <formula>EXACT($I5,"DEFERRED")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I5:I7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76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9" t="s">
        <v>2822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2823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2824</v>
      </c>
      <c r="B4" s="16" t="s">
        <v>2344</v>
      </c>
      <c r="C4" s="16" t="s">
        <v>2825</v>
      </c>
      <c r="D4" s="16" t="s">
        <v>2826</v>
      </c>
      <c r="E4" s="16" t="s">
        <v>2827</v>
      </c>
      <c r="F4" s="16" t="s">
        <v>2828</v>
      </c>
      <c r="G4" s="16" t="s">
        <v>2097</v>
      </c>
      <c r="H4" s="16" t="s">
        <v>122</v>
      </c>
      <c r="I4" s="16" t="s">
        <v>128</v>
      </c>
    </row>
    <row r="5" customFormat="false" ht="23.85" hidden="false" customHeight="false" outlineLevel="0" collapsed="false">
      <c r="A5" s="17" t="s">
        <v>2178</v>
      </c>
      <c r="B5" s="17" t="s">
        <v>2829</v>
      </c>
      <c r="C5" s="17" t="s">
        <v>2830</v>
      </c>
      <c r="D5" s="17" t="s">
        <v>2831</v>
      </c>
      <c r="E5" s="17" t="s">
        <v>2832</v>
      </c>
      <c r="F5" s="17" t="s">
        <v>2129</v>
      </c>
      <c r="G5" s="17" t="s">
        <v>1944</v>
      </c>
      <c r="H5" s="17" t="s">
        <v>103</v>
      </c>
      <c r="I5" s="17" t="s">
        <v>14</v>
      </c>
    </row>
    <row r="6" customFormat="false" ht="23.85" hidden="false" customHeight="false" outlineLevel="0" collapsed="false">
      <c r="A6" s="18" t="s">
        <v>2230</v>
      </c>
      <c r="B6" s="18" t="s">
        <v>2833</v>
      </c>
      <c r="C6" s="18" t="s">
        <v>2834</v>
      </c>
      <c r="D6" s="18" t="s">
        <v>2835</v>
      </c>
      <c r="E6" s="18" t="s">
        <v>2836</v>
      </c>
      <c r="F6" s="18" t="s">
        <v>2129</v>
      </c>
      <c r="G6" s="18" t="s">
        <v>2837</v>
      </c>
      <c r="H6" s="18" t="s">
        <v>103</v>
      </c>
      <c r="I6" s="18" t="s">
        <v>14</v>
      </c>
    </row>
    <row r="7" customFormat="false" ht="23.85" hidden="false" customHeight="false" outlineLevel="0" collapsed="false">
      <c r="A7" s="17" t="s">
        <v>2240</v>
      </c>
      <c r="B7" s="17" t="s">
        <v>2838</v>
      </c>
      <c r="C7" s="17" t="s">
        <v>2839</v>
      </c>
      <c r="D7" s="17" t="s">
        <v>2840</v>
      </c>
      <c r="E7" s="17" t="s">
        <v>2836</v>
      </c>
      <c r="F7" s="17" t="s">
        <v>2129</v>
      </c>
      <c r="G7" s="17" t="s">
        <v>2841</v>
      </c>
      <c r="H7" s="17" t="s">
        <v>103</v>
      </c>
      <c r="I7" s="17" t="s">
        <v>14</v>
      </c>
    </row>
    <row r="8" customFormat="false" ht="23.85" hidden="false" customHeight="false" outlineLevel="0" collapsed="false">
      <c r="A8" s="18" t="s">
        <v>2271</v>
      </c>
      <c r="B8" s="18" t="s">
        <v>2842</v>
      </c>
      <c r="C8" s="18" t="s">
        <v>2843</v>
      </c>
      <c r="D8" s="18" t="s">
        <v>2844</v>
      </c>
      <c r="E8" s="18" t="s">
        <v>2845</v>
      </c>
      <c r="F8" s="18" t="s">
        <v>2846</v>
      </c>
      <c r="G8" s="18" t="s">
        <v>1944</v>
      </c>
      <c r="H8" s="18" t="s">
        <v>103</v>
      </c>
      <c r="I8" s="18" t="s">
        <v>14</v>
      </c>
    </row>
    <row r="9" customFormat="false" ht="35.05" hidden="false" customHeight="false" outlineLevel="0" collapsed="false">
      <c r="A9" s="17" t="s">
        <v>2105</v>
      </c>
      <c r="B9" s="17" t="s">
        <v>2847</v>
      </c>
      <c r="C9" s="17" t="s">
        <v>2848</v>
      </c>
      <c r="D9" s="17" t="s">
        <v>2849</v>
      </c>
      <c r="E9" s="17" t="s">
        <v>2850</v>
      </c>
      <c r="F9" s="17" t="s">
        <v>2846</v>
      </c>
      <c r="G9" s="17" t="s">
        <v>1944</v>
      </c>
      <c r="H9" s="17" t="s">
        <v>103</v>
      </c>
      <c r="I9" s="17" t="s">
        <v>14</v>
      </c>
    </row>
    <row r="10" customFormat="false" ht="23.85" hidden="false" customHeight="false" outlineLevel="0" collapsed="false">
      <c r="A10" s="18" t="s">
        <v>2130</v>
      </c>
      <c r="B10" s="18" t="s">
        <v>2851</v>
      </c>
      <c r="C10" s="18" t="s">
        <v>2852</v>
      </c>
      <c r="D10" s="18" t="s">
        <v>2853</v>
      </c>
      <c r="E10" s="18" t="s">
        <v>2854</v>
      </c>
      <c r="F10" s="18" t="s">
        <v>2129</v>
      </c>
      <c r="G10" s="18" t="s">
        <v>1944</v>
      </c>
      <c r="H10" s="18" t="s">
        <v>103</v>
      </c>
      <c r="I10" s="18" t="s">
        <v>14</v>
      </c>
    </row>
    <row r="11" customFormat="false" ht="23.85" hidden="false" customHeight="false" outlineLevel="0" collapsed="false">
      <c r="A11" s="17" t="s">
        <v>2855</v>
      </c>
      <c r="B11" s="17" t="s">
        <v>2856</v>
      </c>
      <c r="C11" s="17" t="s">
        <v>2857</v>
      </c>
      <c r="D11" s="17" t="s">
        <v>2858</v>
      </c>
      <c r="E11" s="17" t="s">
        <v>2859</v>
      </c>
      <c r="F11" s="17" t="s">
        <v>2129</v>
      </c>
      <c r="G11" s="17" t="s">
        <v>1944</v>
      </c>
      <c r="H11" s="17" t="s">
        <v>103</v>
      </c>
      <c r="I11" s="17" t="s">
        <v>14</v>
      </c>
    </row>
    <row r="12" customFormat="false" ht="23.85" hidden="false" customHeight="false" outlineLevel="0" collapsed="false">
      <c r="A12" s="18" t="s">
        <v>2860</v>
      </c>
      <c r="B12" s="18" t="s">
        <v>2861</v>
      </c>
      <c r="C12" s="18" t="s">
        <v>2862</v>
      </c>
      <c r="D12" s="18" t="s">
        <v>2863</v>
      </c>
      <c r="E12" s="18" t="s">
        <v>2859</v>
      </c>
      <c r="F12" s="18" t="s">
        <v>2129</v>
      </c>
      <c r="G12" s="18" t="s">
        <v>1944</v>
      </c>
      <c r="H12" s="18" t="s">
        <v>103</v>
      </c>
      <c r="I12" s="18" t="s">
        <v>14</v>
      </c>
    </row>
    <row r="13" customFormat="false" ht="23.85" hidden="false" customHeight="false" outlineLevel="0" collapsed="false">
      <c r="A13" s="17" t="s">
        <v>2864</v>
      </c>
      <c r="B13" s="17" t="s">
        <v>2865</v>
      </c>
      <c r="C13" s="17" t="s">
        <v>2866</v>
      </c>
      <c r="D13" s="17" t="s">
        <v>2867</v>
      </c>
      <c r="E13" s="17" t="s">
        <v>2868</v>
      </c>
      <c r="F13" s="17" t="s">
        <v>2129</v>
      </c>
      <c r="G13" s="17" t="s">
        <v>1944</v>
      </c>
      <c r="H13" s="17" t="s">
        <v>103</v>
      </c>
      <c r="I13" s="17" t="s">
        <v>14</v>
      </c>
    </row>
    <row r="14" customFormat="false" ht="23.85" hidden="false" customHeight="false" outlineLevel="0" collapsed="false">
      <c r="A14" s="18" t="s">
        <v>2143</v>
      </c>
      <c r="B14" s="18" t="s">
        <v>2869</v>
      </c>
      <c r="C14" s="18" t="s">
        <v>2870</v>
      </c>
      <c r="D14" s="18" t="s">
        <v>2871</v>
      </c>
      <c r="E14" s="18" t="s">
        <v>2872</v>
      </c>
      <c r="F14" s="18" t="s">
        <v>2129</v>
      </c>
      <c r="G14" s="18" t="s">
        <v>1944</v>
      </c>
      <c r="H14" s="18" t="s">
        <v>103</v>
      </c>
      <c r="I14" s="18" t="s">
        <v>14</v>
      </c>
    </row>
    <row r="15" customFormat="false" ht="23.85" hidden="false" customHeight="false" outlineLevel="0" collapsed="false">
      <c r="A15" s="17" t="s">
        <v>2138</v>
      </c>
      <c r="B15" s="17" t="s">
        <v>2873</v>
      </c>
      <c r="C15" s="17" t="s">
        <v>2874</v>
      </c>
      <c r="D15" s="17" t="s">
        <v>2875</v>
      </c>
      <c r="E15" s="17" t="s">
        <v>2876</v>
      </c>
      <c r="F15" s="17" t="s">
        <v>2129</v>
      </c>
      <c r="G15" s="17" t="s">
        <v>1944</v>
      </c>
      <c r="H15" s="17" t="s">
        <v>103</v>
      </c>
      <c r="I15" s="17" t="s">
        <v>14</v>
      </c>
    </row>
    <row r="16" customFormat="false" ht="23.85" hidden="false" customHeight="false" outlineLevel="0" collapsed="false">
      <c r="A16" s="18" t="s">
        <v>2156</v>
      </c>
      <c r="B16" s="18" t="s">
        <v>2877</v>
      </c>
      <c r="C16" s="18" t="s">
        <v>2878</v>
      </c>
      <c r="D16" s="18" t="s">
        <v>2879</v>
      </c>
      <c r="E16" s="18" t="s">
        <v>2880</v>
      </c>
      <c r="F16" s="18" t="s">
        <v>2129</v>
      </c>
      <c r="G16" s="18" t="s">
        <v>2881</v>
      </c>
      <c r="H16" s="18" t="s">
        <v>103</v>
      </c>
      <c r="I16" s="18" t="s">
        <v>14</v>
      </c>
    </row>
    <row r="17" customFormat="false" ht="23.85" hidden="false" customHeight="false" outlineLevel="0" collapsed="false">
      <c r="A17" s="17" t="s">
        <v>2288</v>
      </c>
      <c r="B17" s="17" t="s">
        <v>2882</v>
      </c>
      <c r="C17" s="17" t="s">
        <v>2883</v>
      </c>
      <c r="D17" s="17" t="s">
        <v>2884</v>
      </c>
      <c r="E17" s="17" t="s">
        <v>2885</v>
      </c>
      <c r="F17" s="17" t="s">
        <v>2129</v>
      </c>
      <c r="G17" s="17" t="s">
        <v>1944</v>
      </c>
      <c r="H17" s="17" t="s">
        <v>103</v>
      </c>
      <c r="I17" s="17" t="s">
        <v>14</v>
      </c>
    </row>
    <row r="18" customFormat="false" ht="23.85" hidden="false" customHeight="false" outlineLevel="0" collapsed="false">
      <c r="A18" s="18" t="s">
        <v>2886</v>
      </c>
      <c r="B18" s="18" t="s">
        <v>2887</v>
      </c>
      <c r="C18" s="18" t="s">
        <v>2888</v>
      </c>
      <c r="D18" s="18" t="s">
        <v>2884</v>
      </c>
      <c r="E18" s="18" t="s">
        <v>2889</v>
      </c>
      <c r="F18" s="18" t="s">
        <v>2129</v>
      </c>
      <c r="G18" s="18" t="s">
        <v>1944</v>
      </c>
      <c r="H18" s="18" t="s">
        <v>103</v>
      </c>
      <c r="I18" s="18" t="s">
        <v>14</v>
      </c>
    </row>
    <row r="19" customFormat="false" ht="23.85" hidden="false" customHeight="false" outlineLevel="0" collapsed="false">
      <c r="A19" s="17" t="s">
        <v>2890</v>
      </c>
      <c r="B19" s="17" t="s">
        <v>2891</v>
      </c>
      <c r="C19" s="17" t="s">
        <v>2892</v>
      </c>
      <c r="D19" s="17" t="s">
        <v>2879</v>
      </c>
      <c r="E19" s="17" t="s">
        <v>2893</v>
      </c>
      <c r="F19" s="17" t="s">
        <v>2129</v>
      </c>
      <c r="G19" s="17" t="s">
        <v>1944</v>
      </c>
      <c r="H19" s="17" t="s">
        <v>103</v>
      </c>
      <c r="I19" s="17" t="s">
        <v>14</v>
      </c>
    </row>
    <row r="20" customFormat="false" ht="23.85" hidden="false" customHeight="false" outlineLevel="0" collapsed="false">
      <c r="A20" s="18" t="s">
        <v>2894</v>
      </c>
      <c r="B20" s="18" t="s">
        <v>2895</v>
      </c>
      <c r="C20" s="18" t="s">
        <v>2896</v>
      </c>
      <c r="D20" s="18" t="s">
        <v>2897</v>
      </c>
      <c r="E20" s="18" t="s">
        <v>2898</v>
      </c>
      <c r="F20" s="18" t="s">
        <v>2129</v>
      </c>
      <c r="G20" s="18" t="s">
        <v>1944</v>
      </c>
      <c r="H20" s="18" t="s">
        <v>103</v>
      </c>
      <c r="I20" s="18" t="s">
        <v>14</v>
      </c>
    </row>
    <row r="21" customFormat="false" ht="23.85" hidden="false" customHeight="false" outlineLevel="0" collapsed="false">
      <c r="A21" s="17" t="s">
        <v>2262</v>
      </c>
      <c r="B21" s="17" t="s">
        <v>2899</v>
      </c>
      <c r="C21" s="17" t="s">
        <v>2900</v>
      </c>
      <c r="D21" s="17" t="s">
        <v>2897</v>
      </c>
      <c r="E21" s="17" t="s">
        <v>2901</v>
      </c>
      <c r="F21" s="17" t="s">
        <v>2129</v>
      </c>
      <c r="G21" s="17" t="s">
        <v>1944</v>
      </c>
      <c r="H21" s="17" t="s">
        <v>103</v>
      </c>
      <c r="I21" s="17" t="s">
        <v>14</v>
      </c>
    </row>
    <row r="22" customFormat="false" ht="35.05" hidden="false" customHeight="false" outlineLevel="0" collapsed="false">
      <c r="A22" s="18" t="s">
        <v>2226</v>
      </c>
      <c r="B22" s="18" t="s">
        <v>2902</v>
      </c>
      <c r="C22" s="18" t="s">
        <v>2903</v>
      </c>
      <c r="D22" s="18" t="s">
        <v>2853</v>
      </c>
      <c r="E22" s="18" t="s">
        <v>2904</v>
      </c>
      <c r="F22" s="18" t="s">
        <v>2905</v>
      </c>
      <c r="G22" s="18" t="s">
        <v>1944</v>
      </c>
      <c r="H22" s="18" t="s">
        <v>103</v>
      </c>
      <c r="I22" s="18" t="s">
        <v>14</v>
      </c>
    </row>
    <row r="23" customFormat="false" ht="23.85" hidden="false" customHeight="false" outlineLevel="0" collapsed="false">
      <c r="A23" s="17" t="s">
        <v>2268</v>
      </c>
      <c r="B23" s="17" t="s">
        <v>2906</v>
      </c>
      <c r="C23" s="17" t="s">
        <v>2907</v>
      </c>
      <c r="D23" s="17" t="s">
        <v>2879</v>
      </c>
      <c r="E23" s="17" t="s">
        <v>2908</v>
      </c>
      <c r="F23" s="17" t="s">
        <v>2129</v>
      </c>
      <c r="G23" s="17" t="s">
        <v>1944</v>
      </c>
      <c r="H23" s="17" t="s">
        <v>103</v>
      </c>
      <c r="I23" s="17" t="s">
        <v>14</v>
      </c>
    </row>
    <row r="24" customFormat="false" ht="23.85" hidden="false" customHeight="false" outlineLevel="0" collapsed="false">
      <c r="A24" s="18" t="s">
        <v>2300</v>
      </c>
      <c r="B24" s="18" t="s">
        <v>2909</v>
      </c>
      <c r="C24" s="18" t="s">
        <v>2910</v>
      </c>
      <c r="D24" s="18" t="s">
        <v>2879</v>
      </c>
      <c r="E24" s="18" t="s">
        <v>2911</v>
      </c>
      <c r="F24" s="18" t="s">
        <v>2129</v>
      </c>
      <c r="G24" s="18" t="s">
        <v>1944</v>
      </c>
      <c r="H24" s="18" t="s">
        <v>103</v>
      </c>
      <c r="I24" s="18" t="s">
        <v>14</v>
      </c>
    </row>
    <row r="25" customFormat="false" ht="23.85" hidden="false" customHeight="false" outlineLevel="0" collapsed="false">
      <c r="A25" s="17" t="s">
        <v>2912</v>
      </c>
      <c r="B25" s="17" t="s">
        <v>2913</v>
      </c>
      <c r="C25" s="17" t="s">
        <v>2914</v>
      </c>
      <c r="D25" s="17" t="s">
        <v>2853</v>
      </c>
      <c r="E25" s="17" t="s">
        <v>2915</v>
      </c>
      <c r="F25" s="17" t="s">
        <v>2129</v>
      </c>
      <c r="G25" s="17" t="s">
        <v>2916</v>
      </c>
      <c r="H25" s="17" t="s">
        <v>103</v>
      </c>
      <c r="I25" s="17" t="s">
        <v>14</v>
      </c>
    </row>
    <row r="26" customFormat="false" ht="23.85" hidden="false" customHeight="false" outlineLevel="0" collapsed="false">
      <c r="A26" s="18" t="s">
        <v>2248</v>
      </c>
      <c r="B26" s="18" t="s">
        <v>2917</v>
      </c>
      <c r="C26" s="18" t="s">
        <v>2918</v>
      </c>
      <c r="D26" s="18" t="s">
        <v>2919</v>
      </c>
      <c r="E26" s="18" t="s">
        <v>2920</v>
      </c>
      <c r="F26" s="18" t="s">
        <v>2846</v>
      </c>
      <c r="G26" s="18" t="s">
        <v>2841</v>
      </c>
      <c r="H26" s="18" t="s">
        <v>103</v>
      </c>
      <c r="I26" s="18" t="s">
        <v>14</v>
      </c>
    </row>
    <row r="27" customFormat="false" ht="23.85" hidden="false" customHeight="false" outlineLevel="0" collapsed="false">
      <c r="A27" s="17" t="s">
        <v>2921</v>
      </c>
      <c r="B27" s="17" t="s">
        <v>2922</v>
      </c>
      <c r="C27" s="17" t="s">
        <v>2923</v>
      </c>
      <c r="D27" s="17" t="s">
        <v>2924</v>
      </c>
      <c r="E27" s="17" t="s">
        <v>2925</v>
      </c>
      <c r="F27" s="17" t="s">
        <v>2129</v>
      </c>
      <c r="G27" s="17" t="s">
        <v>2841</v>
      </c>
      <c r="H27" s="17" t="s">
        <v>103</v>
      </c>
      <c r="I27" s="17" t="s">
        <v>14</v>
      </c>
    </row>
    <row r="28" customFormat="false" ht="23.85" hidden="false" customHeight="false" outlineLevel="0" collapsed="false">
      <c r="A28" s="18" t="s">
        <v>106</v>
      </c>
      <c r="B28" s="18" t="s">
        <v>2926</v>
      </c>
      <c r="C28" s="18" t="s">
        <v>2927</v>
      </c>
      <c r="D28" s="18" t="s">
        <v>2928</v>
      </c>
      <c r="E28" s="18" t="s">
        <v>2929</v>
      </c>
      <c r="F28" s="18" t="s">
        <v>2129</v>
      </c>
      <c r="G28" s="18" t="s">
        <v>2930</v>
      </c>
      <c r="H28" s="18" t="s">
        <v>103</v>
      </c>
      <c r="I28" s="18" t="s">
        <v>14</v>
      </c>
    </row>
    <row r="29" customFormat="false" ht="23.85" hidden="false" customHeight="false" outlineLevel="0" collapsed="false">
      <c r="A29" s="17" t="s">
        <v>2931</v>
      </c>
      <c r="B29" s="17" t="s">
        <v>2932</v>
      </c>
      <c r="C29" s="17" t="s">
        <v>2933</v>
      </c>
      <c r="D29" s="17" t="s">
        <v>2934</v>
      </c>
      <c r="E29" s="17" t="s">
        <v>2935</v>
      </c>
      <c r="F29" s="17" t="s">
        <v>2129</v>
      </c>
      <c r="G29" s="17" t="s">
        <v>2936</v>
      </c>
      <c r="H29" s="17" t="s">
        <v>103</v>
      </c>
      <c r="I29" s="17" t="s">
        <v>14</v>
      </c>
    </row>
    <row r="30" customFormat="false" ht="23.85" hidden="false" customHeight="false" outlineLevel="0" collapsed="false">
      <c r="A30" s="18" t="s">
        <v>2937</v>
      </c>
      <c r="B30" s="18" t="s">
        <v>2938</v>
      </c>
      <c r="C30" s="18" t="s">
        <v>2939</v>
      </c>
      <c r="D30" s="18" t="s">
        <v>2940</v>
      </c>
      <c r="E30" s="18" t="s">
        <v>2859</v>
      </c>
      <c r="F30" s="18" t="s">
        <v>2129</v>
      </c>
      <c r="G30" s="18" t="s">
        <v>2941</v>
      </c>
      <c r="H30" s="18" t="s">
        <v>103</v>
      </c>
      <c r="I30" s="18" t="s">
        <v>14</v>
      </c>
    </row>
    <row r="31" customFormat="false" ht="23.85" hidden="false" customHeight="false" outlineLevel="0" collapsed="false">
      <c r="A31" s="17" t="s">
        <v>2942</v>
      </c>
      <c r="B31" s="17" t="s">
        <v>2943</v>
      </c>
      <c r="C31" s="17" t="s">
        <v>2944</v>
      </c>
      <c r="D31" s="17" t="s">
        <v>2945</v>
      </c>
      <c r="E31" s="17" t="s">
        <v>2946</v>
      </c>
      <c r="F31" s="17" t="s">
        <v>2129</v>
      </c>
      <c r="G31" s="17" t="s">
        <v>2941</v>
      </c>
      <c r="H31" s="17" t="s">
        <v>103</v>
      </c>
      <c r="I31" s="17" t="s">
        <v>14</v>
      </c>
    </row>
    <row r="32" customFormat="false" ht="23.85" hidden="false" customHeight="false" outlineLevel="0" collapsed="false">
      <c r="A32" s="18" t="s">
        <v>2319</v>
      </c>
      <c r="B32" s="18" t="s">
        <v>2947</v>
      </c>
      <c r="C32" s="18" t="s">
        <v>2948</v>
      </c>
      <c r="D32" s="18" t="s">
        <v>2949</v>
      </c>
      <c r="E32" s="18" t="s">
        <v>2950</v>
      </c>
      <c r="F32" s="18" t="s">
        <v>2129</v>
      </c>
      <c r="G32" s="18" t="s">
        <v>2941</v>
      </c>
      <c r="H32" s="18" t="s">
        <v>103</v>
      </c>
      <c r="I32" s="18" t="s">
        <v>14</v>
      </c>
    </row>
    <row r="33" customFormat="false" ht="23.85" hidden="false" customHeight="false" outlineLevel="0" collapsed="false">
      <c r="A33" s="17" t="s">
        <v>2311</v>
      </c>
      <c r="B33" s="17" t="s">
        <v>2951</v>
      </c>
      <c r="C33" s="17" t="s">
        <v>2952</v>
      </c>
      <c r="D33" s="17" t="s">
        <v>2953</v>
      </c>
      <c r="E33" s="17" t="s">
        <v>2954</v>
      </c>
      <c r="F33" s="17" t="s">
        <v>2129</v>
      </c>
      <c r="G33" s="17" t="s">
        <v>2955</v>
      </c>
      <c r="H33" s="17" t="s">
        <v>103</v>
      </c>
      <c r="I33" s="17" t="s">
        <v>14</v>
      </c>
    </row>
    <row r="34" customFormat="false" ht="23.85" hidden="false" customHeight="false" outlineLevel="0" collapsed="false">
      <c r="A34" s="18" t="s">
        <v>2323</v>
      </c>
      <c r="B34" s="18" t="s">
        <v>2956</v>
      </c>
      <c r="C34" s="18" t="s">
        <v>2957</v>
      </c>
      <c r="D34" s="18" t="s">
        <v>2958</v>
      </c>
      <c r="E34" s="18" t="s">
        <v>2959</v>
      </c>
      <c r="F34" s="18" t="s">
        <v>2129</v>
      </c>
      <c r="G34" s="18" t="s">
        <v>2941</v>
      </c>
      <c r="H34" s="18" t="s">
        <v>103</v>
      </c>
      <c r="I34" s="18" t="s">
        <v>14</v>
      </c>
    </row>
    <row r="35" customFormat="false" ht="23.85" hidden="false" customHeight="false" outlineLevel="0" collapsed="false">
      <c r="A35" s="17" t="s">
        <v>2960</v>
      </c>
      <c r="B35" s="17" t="s">
        <v>2961</v>
      </c>
      <c r="C35" s="17" t="s">
        <v>2962</v>
      </c>
      <c r="D35" s="17" t="s">
        <v>2934</v>
      </c>
      <c r="E35" s="17" t="s">
        <v>2963</v>
      </c>
      <c r="F35" s="17" t="s">
        <v>2129</v>
      </c>
      <c r="G35" s="17" t="s">
        <v>1944</v>
      </c>
      <c r="H35" s="17" t="s">
        <v>103</v>
      </c>
      <c r="I35" s="17" t="s">
        <v>14</v>
      </c>
    </row>
    <row r="36" customFormat="false" ht="23.85" hidden="false" customHeight="false" outlineLevel="0" collapsed="false">
      <c r="A36" s="18" t="s">
        <v>2964</v>
      </c>
      <c r="B36" s="18" t="s">
        <v>2965</v>
      </c>
      <c r="C36" s="18" t="s">
        <v>2966</v>
      </c>
      <c r="D36" s="18" t="s">
        <v>1947</v>
      </c>
      <c r="E36" s="18" t="s">
        <v>2967</v>
      </c>
      <c r="F36" s="18" t="s">
        <v>2129</v>
      </c>
      <c r="G36" s="18" t="s">
        <v>1944</v>
      </c>
      <c r="H36" s="18" t="s">
        <v>103</v>
      </c>
      <c r="I36" s="18" t="s">
        <v>14</v>
      </c>
    </row>
  </sheetData>
  <autoFilter ref="A4:I36"/>
  <mergeCells count="2">
    <mergeCell ref="A1:I1"/>
    <mergeCell ref="A2:I2"/>
  </mergeCells>
  <conditionalFormatting sqref="H5:H36">
    <cfRule type="expression" priority="2" aboveAverage="0" equalAverage="0" bottom="0" percent="0" rank="0" text="" dxfId="16">
      <formula>EXACT($H5,"NOT STARTED")</formula>
    </cfRule>
    <cfRule type="expression" priority="3" aboveAverage="0" equalAverage="0" bottom="0" percent="0" rank="0" text="" dxfId="17">
      <formula>EXACT($H5,"IN PROGRESS")</formula>
    </cfRule>
    <cfRule type="expression" priority="4" aboveAverage="0" equalAverage="0" bottom="0" percent="0" rank="0" text="" dxfId="18">
      <formula>EXACT($H5,"BLOCKED")</formula>
    </cfRule>
    <cfRule type="expression" priority="5" aboveAverage="0" equalAverage="0" bottom="0" percent="0" rank="0" text="" dxfId="19">
      <formula>EXACT($H5,"REVIEW")</formula>
    </cfRule>
    <cfRule type="expression" priority="6" aboveAverage="0" equalAverage="0" bottom="0" percent="0" rank="0" text="" dxfId="20">
      <formula>EXACT($H5,"DONE")</formula>
    </cfRule>
    <cfRule type="expression" priority="7" aboveAverage="0" equalAverage="0" bottom="0" percent="0" rank="0" text="" dxfId="21">
      <formula>EXACT($H5,"DEFERRED")</formula>
    </cfRule>
  </conditionalFormatting>
  <conditionalFormatting sqref="I5:I36">
    <cfRule type="expression" priority="8" aboveAverage="0" equalAverage="0" bottom="0" percent="0" rank="0" text="" dxfId="20">
      <formula>EXACT($I5,"OBSERVED FROM RESEARCH")</formula>
    </cfRule>
    <cfRule type="expression" priority="9" aboveAverage="0" equalAverage="0" bottom="0" percent="0" rank="0" text="" dxfId="19">
      <formula>EXACT($I5,"PROPOSED")</formula>
    </cfRule>
    <cfRule type="expression" priority="10" aboveAverage="0" equalAverage="0" bottom="0" percent="0" rank="0" text="" dxfId="23">
      <formula>EXACT($I5,"DECISION REQUIRED")</formula>
    </cfRule>
    <cfRule type="expression" priority="11" aboveAverage="0" equalAverage="0" bottom="0" percent="0" rank="0" text="" dxfId="24">
      <formula>EXACT($I5,"USER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H5:H36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46"/>
    <col collapsed="false" customWidth="true" hidden="false" outlineLevel="0" max="6" min="6" style="0" width="19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9" t="s">
        <v>2968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7.75" hidden="false" customHeight="true" outlineLevel="0" collapsed="false">
      <c r="A2" s="11" t="s">
        <v>2969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customFormat="false" ht="33.75" hidden="false" customHeight="true" outlineLevel="0" collapsed="false">
      <c r="A4" s="16" t="s">
        <v>2970</v>
      </c>
      <c r="B4" s="16" t="s">
        <v>2971</v>
      </c>
      <c r="C4" s="16" t="s">
        <v>2972</v>
      </c>
      <c r="D4" s="16" t="s">
        <v>2973</v>
      </c>
      <c r="E4" s="16" t="s">
        <v>2344</v>
      </c>
      <c r="F4" s="16" t="s">
        <v>1984</v>
      </c>
      <c r="G4" s="16" t="s">
        <v>2974</v>
      </c>
      <c r="H4" s="16" t="s">
        <v>2975</v>
      </c>
      <c r="I4" s="16" t="s">
        <v>2976</v>
      </c>
      <c r="J4" s="16" t="s">
        <v>2977</v>
      </c>
      <c r="K4" s="16" t="s">
        <v>2097</v>
      </c>
      <c r="L4" s="16" t="s">
        <v>122</v>
      </c>
    </row>
    <row r="5" customFormat="false" ht="15" hidden="false" customHeight="false" outlineLevel="0" collapsed="false">
      <c r="A5" s="17" t="s">
        <v>2978</v>
      </c>
      <c r="B5" s="17" t="s">
        <v>2979</v>
      </c>
      <c r="C5" s="17" t="s">
        <v>2980</v>
      </c>
      <c r="D5" s="17" t="s">
        <v>2981</v>
      </c>
      <c r="E5" s="17" t="s">
        <v>2982</v>
      </c>
      <c r="F5" s="17" t="s">
        <v>2983</v>
      </c>
      <c r="G5" s="17" t="s">
        <v>2984</v>
      </c>
      <c r="H5" s="17" t="s">
        <v>2985</v>
      </c>
      <c r="I5" s="17" t="s">
        <v>2986</v>
      </c>
      <c r="J5" s="17" t="s">
        <v>2886</v>
      </c>
      <c r="K5" s="17" t="s">
        <v>1944</v>
      </c>
      <c r="L5" s="17" t="s">
        <v>103</v>
      </c>
    </row>
    <row r="6" customFormat="false" ht="15" hidden="false" customHeight="false" outlineLevel="0" collapsed="false">
      <c r="A6" s="18" t="s">
        <v>2987</v>
      </c>
      <c r="B6" s="18" t="s">
        <v>2979</v>
      </c>
      <c r="C6" s="18" t="s">
        <v>2980</v>
      </c>
      <c r="D6" s="18" t="s">
        <v>2988</v>
      </c>
      <c r="E6" s="18" t="s">
        <v>2989</v>
      </c>
      <c r="F6" s="18" t="s">
        <v>2983</v>
      </c>
      <c r="G6" s="18" t="s">
        <v>2990</v>
      </c>
      <c r="H6" s="18" t="s">
        <v>2991</v>
      </c>
      <c r="I6" s="18" t="s">
        <v>2992</v>
      </c>
      <c r="J6" s="18" t="s">
        <v>2993</v>
      </c>
      <c r="K6" s="18" t="s">
        <v>1944</v>
      </c>
      <c r="L6" s="18" t="s">
        <v>103</v>
      </c>
    </row>
    <row r="7" customFormat="false" ht="15" hidden="false" customHeight="false" outlineLevel="0" collapsed="false">
      <c r="A7" s="17" t="s">
        <v>2994</v>
      </c>
      <c r="B7" s="17" t="s">
        <v>2979</v>
      </c>
      <c r="C7" s="17" t="s">
        <v>2980</v>
      </c>
      <c r="D7" s="17" t="s">
        <v>2995</v>
      </c>
      <c r="E7" s="17" t="s">
        <v>2996</v>
      </c>
      <c r="F7" s="17" t="s">
        <v>2997</v>
      </c>
      <c r="G7" s="17" t="s">
        <v>2998</v>
      </c>
      <c r="H7" s="17" t="s">
        <v>2999</v>
      </c>
      <c r="I7" s="17" t="s">
        <v>3000</v>
      </c>
      <c r="J7" s="17" t="s">
        <v>2890</v>
      </c>
      <c r="K7" s="17" t="s">
        <v>1944</v>
      </c>
      <c r="L7" s="17" t="s">
        <v>103</v>
      </c>
    </row>
    <row r="8" customFormat="false" ht="15" hidden="false" customHeight="false" outlineLevel="0" collapsed="false">
      <c r="A8" s="18" t="s">
        <v>3001</v>
      </c>
      <c r="B8" s="18" t="s">
        <v>2979</v>
      </c>
      <c r="C8" s="18" t="s">
        <v>2980</v>
      </c>
      <c r="D8" s="18" t="s">
        <v>3002</v>
      </c>
      <c r="E8" s="18" t="s">
        <v>3003</v>
      </c>
      <c r="F8" s="18" t="s">
        <v>3004</v>
      </c>
      <c r="G8" s="18" t="s">
        <v>3005</v>
      </c>
      <c r="H8" s="18" t="s">
        <v>3006</v>
      </c>
      <c r="I8" s="18" t="s">
        <v>3007</v>
      </c>
      <c r="J8" s="18" t="s">
        <v>2890</v>
      </c>
      <c r="K8" s="18" t="s">
        <v>1944</v>
      </c>
      <c r="L8" s="18" t="s">
        <v>103</v>
      </c>
    </row>
    <row r="9" customFormat="false" ht="15" hidden="false" customHeight="false" outlineLevel="0" collapsed="false">
      <c r="A9" s="17" t="s">
        <v>3008</v>
      </c>
      <c r="B9" s="17" t="s">
        <v>3009</v>
      </c>
      <c r="C9" s="17" t="s">
        <v>3010</v>
      </c>
      <c r="D9" s="17" t="s">
        <v>3011</v>
      </c>
      <c r="E9" s="17" t="s">
        <v>3012</v>
      </c>
      <c r="F9" s="17" t="s">
        <v>3004</v>
      </c>
      <c r="G9" s="17" t="s">
        <v>1947</v>
      </c>
      <c r="H9" s="17" t="s">
        <v>3013</v>
      </c>
      <c r="I9" s="17" t="s">
        <v>3014</v>
      </c>
      <c r="J9" s="17" t="s">
        <v>2178</v>
      </c>
      <c r="K9" s="17" t="s">
        <v>1944</v>
      </c>
      <c r="L9" s="17" t="s">
        <v>103</v>
      </c>
    </row>
    <row r="10" customFormat="false" ht="15" hidden="false" customHeight="false" outlineLevel="0" collapsed="false">
      <c r="A10" s="18" t="s">
        <v>3015</v>
      </c>
      <c r="B10" s="18" t="s">
        <v>3009</v>
      </c>
      <c r="C10" s="18" t="s">
        <v>3016</v>
      </c>
      <c r="D10" s="18" t="s">
        <v>3011</v>
      </c>
      <c r="E10" s="18" t="s">
        <v>3017</v>
      </c>
      <c r="F10" s="18" t="s">
        <v>3004</v>
      </c>
      <c r="G10" s="18" t="s">
        <v>3018</v>
      </c>
      <c r="H10" s="18" t="s">
        <v>3013</v>
      </c>
      <c r="I10" s="18" t="s">
        <v>3019</v>
      </c>
      <c r="J10" s="18" t="s">
        <v>2178</v>
      </c>
      <c r="K10" s="18" t="s">
        <v>1944</v>
      </c>
      <c r="L10" s="18" t="s">
        <v>103</v>
      </c>
    </row>
    <row r="11" customFormat="false" ht="15" hidden="false" customHeight="false" outlineLevel="0" collapsed="false">
      <c r="A11" s="17" t="s">
        <v>3020</v>
      </c>
      <c r="B11" s="17" t="s">
        <v>3009</v>
      </c>
      <c r="C11" s="17" t="s">
        <v>2980</v>
      </c>
      <c r="D11" s="17" t="s">
        <v>3021</v>
      </c>
      <c r="E11" s="17" t="s">
        <v>3022</v>
      </c>
      <c r="F11" s="17" t="s">
        <v>3004</v>
      </c>
      <c r="G11" s="17" t="s">
        <v>3023</v>
      </c>
      <c r="H11" s="17" t="s">
        <v>3013</v>
      </c>
      <c r="I11" s="17" t="s">
        <v>3024</v>
      </c>
      <c r="J11" s="17" t="s">
        <v>3025</v>
      </c>
      <c r="K11" s="17" t="s">
        <v>1944</v>
      </c>
      <c r="L11" s="17" t="s">
        <v>103</v>
      </c>
    </row>
    <row r="12" customFormat="false" ht="15" hidden="false" customHeight="false" outlineLevel="0" collapsed="false">
      <c r="A12" s="18" t="s">
        <v>3026</v>
      </c>
      <c r="B12" s="18" t="s">
        <v>3009</v>
      </c>
      <c r="C12" s="18" t="s">
        <v>2980</v>
      </c>
      <c r="D12" s="18" t="s">
        <v>3027</v>
      </c>
      <c r="E12" s="18" t="s">
        <v>3028</v>
      </c>
      <c r="F12" s="18" t="s">
        <v>3004</v>
      </c>
      <c r="G12" s="18" t="s">
        <v>3029</v>
      </c>
      <c r="H12" s="18" t="s">
        <v>3030</v>
      </c>
      <c r="I12" s="18" t="s">
        <v>3031</v>
      </c>
      <c r="J12" s="18" t="s">
        <v>2178</v>
      </c>
      <c r="K12" s="18" t="s">
        <v>1944</v>
      </c>
      <c r="L12" s="18" t="s">
        <v>103</v>
      </c>
    </row>
    <row r="13" customFormat="false" ht="15" hidden="false" customHeight="false" outlineLevel="0" collapsed="false">
      <c r="A13" s="17" t="s">
        <v>3032</v>
      </c>
      <c r="B13" s="17" t="s">
        <v>3033</v>
      </c>
      <c r="C13" s="17" t="s">
        <v>3010</v>
      </c>
      <c r="D13" s="17" t="s">
        <v>3034</v>
      </c>
      <c r="E13" s="17" t="s">
        <v>3035</v>
      </c>
      <c r="F13" s="17" t="s">
        <v>2983</v>
      </c>
      <c r="G13" s="17" t="s">
        <v>3036</v>
      </c>
      <c r="H13" s="17" t="s">
        <v>3037</v>
      </c>
      <c r="I13" s="17" t="s">
        <v>3038</v>
      </c>
      <c r="J13" s="17" t="s">
        <v>2960</v>
      </c>
      <c r="K13" s="17" t="s">
        <v>1944</v>
      </c>
      <c r="L13" s="17" t="s">
        <v>103</v>
      </c>
    </row>
    <row r="14" customFormat="false" ht="15" hidden="false" customHeight="false" outlineLevel="0" collapsed="false">
      <c r="A14" s="18" t="s">
        <v>3039</v>
      </c>
      <c r="B14" s="18" t="s">
        <v>3033</v>
      </c>
      <c r="C14" s="18" t="s">
        <v>3010</v>
      </c>
      <c r="D14" s="18" t="s">
        <v>3040</v>
      </c>
      <c r="E14" s="18" t="s">
        <v>3041</v>
      </c>
      <c r="F14" s="18" t="s">
        <v>2983</v>
      </c>
      <c r="G14" s="18" t="s">
        <v>1947</v>
      </c>
      <c r="H14" s="18" t="s">
        <v>3042</v>
      </c>
      <c r="I14" s="18" t="s">
        <v>3043</v>
      </c>
      <c r="J14" s="18" t="s">
        <v>2271</v>
      </c>
      <c r="K14" s="18" t="s">
        <v>1944</v>
      </c>
      <c r="L14" s="18" t="s">
        <v>103</v>
      </c>
    </row>
    <row r="15" customFormat="false" ht="15" hidden="false" customHeight="false" outlineLevel="0" collapsed="false">
      <c r="A15" s="17" t="s">
        <v>3044</v>
      </c>
      <c r="B15" s="17" t="s">
        <v>1943</v>
      </c>
      <c r="C15" s="17" t="s">
        <v>3010</v>
      </c>
      <c r="D15" s="17" t="s">
        <v>3045</v>
      </c>
      <c r="E15" s="17" t="s">
        <v>3046</v>
      </c>
      <c r="F15" s="17" t="s">
        <v>2983</v>
      </c>
      <c r="G15" s="17" t="s">
        <v>3047</v>
      </c>
      <c r="H15" s="17" t="s">
        <v>3048</v>
      </c>
      <c r="I15" s="17" t="s">
        <v>3049</v>
      </c>
      <c r="J15" s="17" t="s">
        <v>2114</v>
      </c>
      <c r="K15" s="17" t="s">
        <v>1944</v>
      </c>
      <c r="L15" s="17" t="s">
        <v>103</v>
      </c>
    </row>
    <row r="16" customFormat="false" ht="15" hidden="false" customHeight="false" outlineLevel="0" collapsed="false">
      <c r="A16" s="18" t="s">
        <v>3050</v>
      </c>
      <c r="B16" s="18" t="s">
        <v>1943</v>
      </c>
      <c r="C16" s="18" t="s">
        <v>3010</v>
      </c>
      <c r="D16" s="18" t="s">
        <v>3051</v>
      </c>
      <c r="E16" s="18" t="s">
        <v>3052</v>
      </c>
      <c r="F16" s="18" t="s">
        <v>2983</v>
      </c>
      <c r="G16" s="18" t="s">
        <v>3053</v>
      </c>
      <c r="H16" s="18" t="s">
        <v>3054</v>
      </c>
      <c r="I16" s="18" t="s">
        <v>3055</v>
      </c>
      <c r="J16" s="18" t="s">
        <v>2105</v>
      </c>
      <c r="K16" s="18" t="s">
        <v>1944</v>
      </c>
      <c r="L16" s="18" t="s">
        <v>103</v>
      </c>
    </row>
    <row r="17" customFormat="false" ht="15" hidden="false" customHeight="false" outlineLevel="0" collapsed="false">
      <c r="A17" s="17" t="s">
        <v>3056</v>
      </c>
      <c r="B17" s="17" t="s">
        <v>1943</v>
      </c>
      <c r="C17" s="17" t="s">
        <v>3010</v>
      </c>
      <c r="D17" s="17" t="s">
        <v>3057</v>
      </c>
      <c r="E17" s="17" t="s">
        <v>3058</v>
      </c>
      <c r="F17" s="17" t="s">
        <v>2983</v>
      </c>
      <c r="G17" s="17" t="s">
        <v>3053</v>
      </c>
      <c r="H17" s="17" t="s">
        <v>3059</v>
      </c>
      <c r="I17" s="17" t="s">
        <v>3060</v>
      </c>
      <c r="J17" s="17" t="s">
        <v>2105</v>
      </c>
      <c r="K17" s="17" t="s">
        <v>1944</v>
      </c>
      <c r="L17" s="17" t="s">
        <v>103</v>
      </c>
    </row>
    <row r="18" customFormat="false" ht="15" hidden="false" customHeight="false" outlineLevel="0" collapsed="false">
      <c r="A18" s="18" t="s">
        <v>3061</v>
      </c>
      <c r="B18" s="18" t="s">
        <v>1943</v>
      </c>
      <c r="C18" s="18" t="s">
        <v>3010</v>
      </c>
      <c r="D18" s="18" t="s">
        <v>3062</v>
      </c>
      <c r="E18" s="18" t="s">
        <v>3063</v>
      </c>
      <c r="F18" s="18" t="s">
        <v>2983</v>
      </c>
      <c r="G18" s="18" t="s">
        <v>3064</v>
      </c>
      <c r="H18" s="18" t="s">
        <v>3065</v>
      </c>
      <c r="I18" s="18" t="s">
        <v>3066</v>
      </c>
      <c r="J18" s="18" t="s">
        <v>2161</v>
      </c>
      <c r="K18" s="18" t="s">
        <v>2881</v>
      </c>
      <c r="L18" s="18" t="s">
        <v>103</v>
      </c>
    </row>
    <row r="19" customFormat="false" ht="15" hidden="false" customHeight="false" outlineLevel="0" collapsed="false">
      <c r="A19" s="17" t="s">
        <v>3067</v>
      </c>
      <c r="B19" s="17" t="s">
        <v>1958</v>
      </c>
      <c r="C19" s="17" t="s">
        <v>3010</v>
      </c>
      <c r="D19" s="17" t="s">
        <v>3068</v>
      </c>
      <c r="E19" s="17" t="s">
        <v>3069</v>
      </c>
      <c r="F19" s="17" t="s">
        <v>2983</v>
      </c>
      <c r="G19" s="17" t="s">
        <v>1947</v>
      </c>
      <c r="H19" s="17" t="s">
        <v>3070</v>
      </c>
      <c r="I19" s="17" t="s">
        <v>3071</v>
      </c>
      <c r="J19" s="17" t="s">
        <v>2126</v>
      </c>
      <c r="K19" s="17" t="s">
        <v>1944</v>
      </c>
      <c r="L19" s="17" t="s">
        <v>103</v>
      </c>
    </row>
    <row r="20" customFormat="false" ht="15" hidden="false" customHeight="false" outlineLevel="0" collapsed="false">
      <c r="A20" s="18" t="s">
        <v>3072</v>
      </c>
      <c r="B20" s="18" t="s">
        <v>1958</v>
      </c>
      <c r="C20" s="18" t="s">
        <v>3010</v>
      </c>
      <c r="D20" s="18" t="s">
        <v>3073</v>
      </c>
      <c r="E20" s="18" t="s">
        <v>3074</v>
      </c>
      <c r="F20" s="18" t="s">
        <v>2983</v>
      </c>
      <c r="G20" s="18" t="s">
        <v>3075</v>
      </c>
      <c r="H20" s="18" t="s">
        <v>3076</v>
      </c>
      <c r="I20" s="18" t="s">
        <v>3043</v>
      </c>
      <c r="J20" s="18" t="s">
        <v>2105</v>
      </c>
      <c r="K20" s="18" t="s">
        <v>3077</v>
      </c>
      <c r="L20" s="18" t="s">
        <v>103</v>
      </c>
    </row>
    <row r="21" customFormat="false" ht="15" hidden="false" customHeight="false" outlineLevel="0" collapsed="false">
      <c r="A21" s="17" t="s">
        <v>3078</v>
      </c>
      <c r="B21" s="17" t="s">
        <v>3079</v>
      </c>
      <c r="C21" s="17" t="s">
        <v>2980</v>
      </c>
      <c r="D21" s="17" t="s">
        <v>3080</v>
      </c>
      <c r="E21" s="17" t="s">
        <v>3081</v>
      </c>
      <c r="F21" s="17" t="s">
        <v>3082</v>
      </c>
      <c r="G21" s="17" t="s">
        <v>3083</v>
      </c>
      <c r="H21" s="17" t="s">
        <v>3084</v>
      </c>
      <c r="I21" s="17" t="s">
        <v>3085</v>
      </c>
      <c r="J21" s="17" t="s">
        <v>2105</v>
      </c>
      <c r="K21" s="17" t="s">
        <v>1944</v>
      </c>
      <c r="L21" s="17" t="s">
        <v>103</v>
      </c>
    </row>
    <row r="22" customFormat="false" ht="15" hidden="false" customHeight="false" outlineLevel="0" collapsed="false">
      <c r="A22" s="18" t="s">
        <v>3086</v>
      </c>
      <c r="B22" s="18" t="s">
        <v>3079</v>
      </c>
      <c r="C22" s="18" t="s">
        <v>3016</v>
      </c>
      <c r="D22" s="18" t="s">
        <v>3087</v>
      </c>
      <c r="E22" s="18" t="s">
        <v>3088</v>
      </c>
      <c r="F22" s="18" t="s">
        <v>3089</v>
      </c>
      <c r="G22" s="18" t="s">
        <v>3090</v>
      </c>
      <c r="H22" s="18" t="s">
        <v>3091</v>
      </c>
      <c r="I22" s="18" t="s">
        <v>3092</v>
      </c>
      <c r="J22" s="18" t="s">
        <v>2105</v>
      </c>
      <c r="K22" s="18" t="s">
        <v>1944</v>
      </c>
      <c r="L22" s="18" t="s">
        <v>103</v>
      </c>
    </row>
    <row r="23" customFormat="false" ht="15" hidden="false" customHeight="false" outlineLevel="0" collapsed="false">
      <c r="A23" s="17" t="s">
        <v>3093</v>
      </c>
      <c r="B23" s="17" t="s">
        <v>3079</v>
      </c>
      <c r="C23" s="17" t="s">
        <v>3010</v>
      </c>
      <c r="D23" s="17" t="s">
        <v>3087</v>
      </c>
      <c r="E23" s="17" t="s">
        <v>3094</v>
      </c>
      <c r="F23" s="17" t="s">
        <v>3089</v>
      </c>
      <c r="G23" s="17" t="s">
        <v>1947</v>
      </c>
      <c r="H23" s="17" t="s">
        <v>3091</v>
      </c>
      <c r="I23" s="17" t="s">
        <v>3095</v>
      </c>
      <c r="J23" s="17" t="s">
        <v>2105</v>
      </c>
      <c r="K23" s="17" t="s">
        <v>1944</v>
      </c>
      <c r="L23" s="17" t="s">
        <v>103</v>
      </c>
    </row>
    <row r="24" customFormat="false" ht="23.85" hidden="false" customHeight="false" outlineLevel="0" collapsed="false">
      <c r="A24" s="18" t="s">
        <v>3096</v>
      </c>
      <c r="B24" s="18" t="s">
        <v>3079</v>
      </c>
      <c r="C24" s="18" t="s">
        <v>2980</v>
      </c>
      <c r="D24" s="18" t="s">
        <v>3097</v>
      </c>
      <c r="E24" s="18" t="s">
        <v>3098</v>
      </c>
      <c r="F24" s="18" t="s">
        <v>3089</v>
      </c>
      <c r="G24" s="18" t="s">
        <v>3005</v>
      </c>
      <c r="H24" s="18" t="s">
        <v>3099</v>
      </c>
      <c r="I24" s="18" t="s">
        <v>3100</v>
      </c>
      <c r="J24" s="18" t="s">
        <v>3101</v>
      </c>
      <c r="K24" s="18" t="s">
        <v>1944</v>
      </c>
      <c r="L24" s="18" t="s">
        <v>103</v>
      </c>
    </row>
    <row r="25" customFormat="false" ht="15" hidden="false" customHeight="false" outlineLevel="0" collapsed="false">
      <c r="A25" s="17" t="s">
        <v>3102</v>
      </c>
      <c r="B25" s="17" t="s">
        <v>3079</v>
      </c>
      <c r="C25" s="17" t="s">
        <v>3103</v>
      </c>
      <c r="D25" s="17" t="s">
        <v>3087</v>
      </c>
      <c r="E25" s="17" t="s">
        <v>3104</v>
      </c>
      <c r="F25" s="17" t="s">
        <v>3089</v>
      </c>
      <c r="G25" s="17" t="s">
        <v>1947</v>
      </c>
      <c r="H25" s="17" t="s">
        <v>3006</v>
      </c>
      <c r="I25" s="17" t="s">
        <v>3095</v>
      </c>
      <c r="J25" s="17" t="s">
        <v>2105</v>
      </c>
      <c r="K25" s="17" t="s">
        <v>1944</v>
      </c>
      <c r="L25" s="17" t="s">
        <v>103</v>
      </c>
    </row>
    <row r="26" customFormat="false" ht="15" hidden="false" customHeight="false" outlineLevel="0" collapsed="false">
      <c r="A26" s="18" t="s">
        <v>3105</v>
      </c>
      <c r="B26" s="18" t="s">
        <v>3079</v>
      </c>
      <c r="C26" s="18" t="s">
        <v>2980</v>
      </c>
      <c r="D26" s="18" t="s">
        <v>3106</v>
      </c>
      <c r="E26" s="18" t="s">
        <v>3107</v>
      </c>
      <c r="F26" s="18" t="s">
        <v>3089</v>
      </c>
      <c r="G26" s="18" t="s">
        <v>3005</v>
      </c>
      <c r="H26" s="18" t="s">
        <v>3108</v>
      </c>
      <c r="I26" s="18" t="s">
        <v>3109</v>
      </c>
      <c r="J26" s="18" t="s">
        <v>2105</v>
      </c>
      <c r="K26" s="18" t="s">
        <v>1944</v>
      </c>
      <c r="L26" s="18" t="s">
        <v>103</v>
      </c>
    </row>
    <row r="27" customFormat="false" ht="15" hidden="false" customHeight="false" outlineLevel="0" collapsed="false">
      <c r="A27" s="17" t="s">
        <v>3110</v>
      </c>
      <c r="B27" s="17" t="s">
        <v>3079</v>
      </c>
      <c r="C27" s="17" t="s">
        <v>3010</v>
      </c>
      <c r="D27" s="17" t="s">
        <v>3111</v>
      </c>
      <c r="E27" s="17" t="s">
        <v>3112</v>
      </c>
      <c r="F27" s="17" t="s">
        <v>3082</v>
      </c>
      <c r="G27" s="17" t="s">
        <v>3113</v>
      </c>
      <c r="H27" s="17" t="s">
        <v>3114</v>
      </c>
      <c r="I27" s="17" t="s">
        <v>3014</v>
      </c>
      <c r="J27" s="17" t="s">
        <v>2105</v>
      </c>
      <c r="K27" s="17" t="s">
        <v>1944</v>
      </c>
      <c r="L27" s="17" t="s">
        <v>103</v>
      </c>
    </row>
    <row r="28" customFormat="false" ht="15" hidden="false" customHeight="false" outlineLevel="0" collapsed="false">
      <c r="A28" s="18" t="s">
        <v>3115</v>
      </c>
      <c r="B28" s="18" t="s">
        <v>3116</v>
      </c>
      <c r="C28" s="18" t="s">
        <v>2980</v>
      </c>
      <c r="D28" s="18" t="s">
        <v>3117</v>
      </c>
      <c r="E28" s="18" t="s">
        <v>3118</v>
      </c>
      <c r="F28" s="18" t="s">
        <v>3089</v>
      </c>
      <c r="G28" s="18" t="s">
        <v>3119</v>
      </c>
      <c r="H28" s="18" t="s">
        <v>3120</v>
      </c>
      <c r="I28" s="18" t="s">
        <v>3121</v>
      </c>
      <c r="J28" s="18" t="s">
        <v>2130</v>
      </c>
      <c r="K28" s="18" t="s">
        <v>1944</v>
      </c>
      <c r="L28" s="18" t="s">
        <v>103</v>
      </c>
    </row>
    <row r="29" customFormat="false" ht="15" hidden="false" customHeight="false" outlineLevel="0" collapsed="false">
      <c r="A29" s="17" t="s">
        <v>3122</v>
      </c>
      <c r="B29" s="17" t="s">
        <v>3116</v>
      </c>
      <c r="C29" s="17" t="s">
        <v>2980</v>
      </c>
      <c r="D29" s="17" t="s">
        <v>3123</v>
      </c>
      <c r="E29" s="17" t="s">
        <v>3124</v>
      </c>
      <c r="F29" s="17" t="s">
        <v>3089</v>
      </c>
      <c r="G29" s="17" t="s">
        <v>3125</v>
      </c>
      <c r="H29" s="17" t="s">
        <v>3126</v>
      </c>
      <c r="I29" s="17" t="s">
        <v>3095</v>
      </c>
      <c r="J29" s="17" t="s">
        <v>3127</v>
      </c>
      <c r="K29" s="17" t="s">
        <v>1944</v>
      </c>
      <c r="L29" s="17" t="s">
        <v>103</v>
      </c>
    </row>
    <row r="30" customFormat="false" ht="15" hidden="false" customHeight="false" outlineLevel="0" collapsed="false">
      <c r="A30" s="18" t="s">
        <v>3128</v>
      </c>
      <c r="B30" s="18" t="s">
        <v>3116</v>
      </c>
      <c r="C30" s="18" t="s">
        <v>3016</v>
      </c>
      <c r="D30" s="18" t="s">
        <v>3129</v>
      </c>
      <c r="E30" s="18" t="s">
        <v>3130</v>
      </c>
      <c r="F30" s="18" t="s">
        <v>3089</v>
      </c>
      <c r="G30" s="18" t="s">
        <v>3131</v>
      </c>
      <c r="H30" s="18" t="s">
        <v>3132</v>
      </c>
      <c r="I30" s="18" t="s">
        <v>3133</v>
      </c>
      <c r="J30" s="18" t="s">
        <v>2130</v>
      </c>
      <c r="K30" s="18" t="s">
        <v>1944</v>
      </c>
      <c r="L30" s="18" t="s">
        <v>103</v>
      </c>
    </row>
    <row r="31" customFormat="false" ht="15" hidden="false" customHeight="false" outlineLevel="0" collapsed="false">
      <c r="A31" s="17" t="s">
        <v>3134</v>
      </c>
      <c r="B31" s="17" t="s">
        <v>3116</v>
      </c>
      <c r="C31" s="17" t="s">
        <v>3103</v>
      </c>
      <c r="D31" s="17" t="s">
        <v>3129</v>
      </c>
      <c r="E31" s="17" t="s">
        <v>3135</v>
      </c>
      <c r="F31" s="17" t="s">
        <v>3089</v>
      </c>
      <c r="G31" s="17" t="s">
        <v>1947</v>
      </c>
      <c r="H31" s="17" t="s">
        <v>3006</v>
      </c>
      <c r="I31" s="17" t="s">
        <v>3136</v>
      </c>
      <c r="J31" s="17" t="s">
        <v>2130</v>
      </c>
      <c r="K31" s="17" t="s">
        <v>1944</v>
      </c>
      <c r="L31" s="17" t="s">
        <v>103</v>
      </c>
    </row>
    <row r="32" customFormat="false" ht="15" hidden="false" customHeight="false" outlineLevel="0" collapsed="false">
      <c r="A32" s="18" t="s">
        <v>3137</v>
      </c>
      <c r="B32" s="18" t="s">
        <v>3138</v>
      </c>
      <c r="C32" s="18" t="s">
        <v>2980</v>
      </c>
      <c r="D32" s="18" t="s">
        <v>3139</v>
      </c>
      <c r="E32" s="18" t="s">
        <v>3140</v>
      </c>
      <c r="F32" s="18" t="s">
        <v>3004</v>
      </c>
      <c r="G32" s="18" t="s">
        <v>3141</v>
      </c>
      <c r="H32" s="18" t="s">
        <v>3142</v>
      </c>
      <c r="I32" s="18" t="s">
        <v>3143</v>
      </c>
      <c r="J32" s="18" t="s">
        <v>2138</v>
      </c>
      <c r="K32" s="18" t="s">
        <v>1944</v>
      </c>
      <c r="L32" s="18" t="s">
        <v>103</v>
      </c>
    </row>
    <row r="33" customFormat="false" ht="15" hidden="false" customHeight="false" outlineLevel="0" collapsed="false">
      <c r="A33" s="17" t="s">
        <v>3144</v>
      </c>
      <c r="B33" s="17" t="s">
        <v>3138</v>
      </c>
      <c r="C33" s="17" t="s">
        <v>3103</v>
      </c>
      <c r="D33" s="17" t="s">
        <v>3145</v>
      </c>
      <c r="E33" s="17" t="s">
        <v>3146</v>
      </c>
      <c r="F33" s="17" t="s">
        <v>3004</v>
      </c>
      <c r="G33" s="17" t="s">
        <v>1947</v>
      </c>
      <c r="H33" s="17" t="s">
        <v>3006</v>
      </c>
      <c r="I33" s="17" t="s">
        <v>3147</v>
      </c>
      <c r="J33" s="17" t="s">
        <v>2138</v>
      </c>
      <c r="K33" s="17" t="s">
        <v>1944</v>
      </c>
      <c r="L33" s="17" t="s">
        <v>103</v>
      </c>
    </row>
    <row r="34" customFormat="false" ht="15" hidden="false" customHeight="false" outlineLevel="0" collapsed="false">
      <c r="A34" s="18" t="s">
        <v>3148</v>
      </c>
      <c r="B34" s="18" t="s">
        <v>3138</v>
      </c>
      <c r="C34" s="18" t="s">
        <v>3010</v>
      </c>
      <c r="D34" s="18" t="s">
        <v>3139</v>
      </c>
      <c r="E34" s="18" t="s">
        <v>3149</v>
      </c>
      <c r="F34" s="18" t="s">
        <v>3004</v>
      </c>
      <c r="G34" s="18" t="s">
        <v>3150</v>
      </c>
      <c r="H34" s="18" t="s">
        <v>3076</v>
      </c>
      <c r="I34" s="18" t="s">
        <v>3014</v>
      </c>
      <c r="J34" s="18" t="s">
        <v>2165</v>
      </c>
      <c r="K34" s="18" t="s">
        <v>1944</v>
      </c>
      <c r="L34" s="18" t="s">
        <v>103</v>
      </c>
    </row>
    <row r="35" customFormat="false" ht="15" hidden="false" customHeight="false" outlineLevel="0" collapsed="false">
      <c r="A35" s="17" t="s">
        <v>3151</v>
      </c>
      <c r="B35" s="17" t="s">
        <v>1973</v>
      </c>
      <c r="C35" s="17" t="s">
        <v>2980</v>
      </c>
      <c r="D35" s="17" t="s">
        <v>3152</v>
      </c>
      <c r="E35" s="17" t="s">
        <v>3153</v>
      </c>
      <c r="F35" s="17" t="s">
        <v>3004</v>
      </c>
      <c r="G35" s="17" t="s">
        <v>3154</v>
      </c>
      <c r="H35" s="17" t="s">
        <v>3155</v>
      </c>
      <c r="I35" s="17" t="s">
        <v>3156</v>
      </c>
      <c r="J35" s="17" t="s">
        <v>2143</v>
      </c>
      <c r="K35" s="17" t="s">
        <v>1944</v>
      </c>
      <c r="L35" s="17" t="s">
        <v>103</v>
      </c>
    </row>
    <row r="36" customFormat="false" ht="15" hidden="false" customHeight="false" outlineLevel="0" collapsed="false">
      <c r="A36" s="18" t="s">
        <v>3157</v>
      </c>
      <c r="B36" s="18" t="s">
        <v>1973</v>
      </c>
      <c r="C36" s="18" t="s">
        <v>2980</v>
      </c>
      <c r="D36" s="18" t="s">
        <v>3158</v>
      </c>
      <c r="E36" s="18" t="s">
        <v>3159</v>
      </c>
      <c r="F36" s="18" t="s">
        <v>3160</v>
      </c>
      <c r="G36" s="18" t="s">
        <v>3141</v>
      </c>
      <c r="H36" s="18" t="s">
        <v>3161</v>
      </c>
      <c r="I36" s="18" t="s">
        <v>3162</v>
      </c>
      <c r="J36" s="18" t="s">
        <v>2147</v>
      </c>
      <c r="K36" s="18" t="s">
        <v>1944</v>
      </c>
      <c r="L36" s="18" t="s">
        <v>103</v>
      </c>
    </row>
    <row r="37" customFormat="false" ht="15" hidden="false" customHeight="false" outlineLevel="0" collapsed="false">
      <c r="A37" s="17" t="s">
        <v>3163</v>
      </c>
      <c r="B37" s="17" t="s">
        <v>1973</v>
      </c>
      <c r="C37" s="17" t="s">
        <v>3010</v>
      </c>
      <c r="D37" s="17" t="s">
        <v>3164</v>
      </c>
      <c r="E37" s="17" t="s">
        <v>3165</v>
      </c>
      <c r="F37" s="17" t="s">
        <v>3082</v>
      </c>
      <c r="G37" s="17" t="s">
        <v>3166</v>
      </c>
      <c r="H37" s="17" t="s">
        <v>3167</v>
      </c>
      <c r="I37" s="17" t="s">
        <v>3168</v>
      </c>
      <c r="J37" s="17" t="s">
        <v>2143</v>
      </c>
      <c r="K37" s="17" t="s">
        <v>1944</v>
      </c>
      <c r="L37" s="17" t="s">
        <v>103</v>
      </c>
    </row>
    <row r="38" customFormat="false" ht="15" hidden="false" customHeight="false" outlineLevel="0" collapsed="false">
      <c r="A38" s="18" t="s">
        <v>3169</v>
      </c>
      <c r="B38" s="18" t="s">
        <v>1973</v>
      </c>
      <c r="C38" s="18" t="s">
        <v>3016</v>
      </c>
      <c r="D38" s="18" t="s">
        <v>3170</v>
      </c>
      <c r="E38" s="18" t="s">
        <v>3171</v>
      </c>
      <c r="F38" s="18" t="s">
        <v>3082</v>
      </c>
      <c r="G38" s="18" t="s">
        <v>3172</v>
      </c>
      <c r="H38" s="18" t="s">
        <v>3173</v>
      </c>
      <c r="I38" s="18" t="s">
        <v>3095</v>
      </c>
      <c r="J38" s="18" t="s">
        <v>2143</v>
      </c>
      <c r="K38" s="18" t="s">
        <v>1944</v>
      </c>
      <c r="L38" s="18" t="s">
        <v>103</v>
      </c>
    </row>
    <row r="39" customFormat="false" ht="15" hidden="false" customHeight="false" outlineLevel="0" collapsed="false">
      <c r="A39" s="17" t="s">
        <v>3174</v>
      </c>
      <c r="B39" s="17" t="s">
        <v>3175</v>
      </c>
      <c r="C39" s="17" t="s">
        <v>3010</v>
      </c>
      <c r="D39" s="17" t="s">
        <v>3176</v>
      </c>
      <c r="E39" s="17" t="s">
        <v>3177</v>
      </c>
      <c r="F39" s="17" t="s">
        <v>3089</v>
      </c>
      <c r="G39" s="17" t="s">
        <v>3178</v>
      </c>
      <c r="H39" s="17" t="s">
        <v>3179</v>
      </c>
      <c r="I39" s="17" t="s">
        <v>3095</v>
      </c>
      <c r="J39" s="17" t="s">
        <v>2222</v>
      </c>
      <c r="K39" s="17" t="s">
        <v>1944</v>
      </c>
      <c r="L39" s="17" t="s">
        <v>103</v>
      </c>
    </row>
    <row r="40" customFormat="false" ht="15" hidden="false" customHeight="false" outlineLevel="0" collapsed="false">
      <c r="A40" s="18" t="s">
        <v>3180</v>
      </c>
      <c r="B40" s="18" t="s">
        <v>3181</v>
      </c>
      <c r="C40" s="18" t="s">
        <v>2980</v>
      </c>
      <c r="D40" s="18" t="s">
        <v>3182</v>
      </c>
      <c r="E40" s="18" t="s">
        <v>3183</v>
      </c>
      <c r="F40" s="18" t="s">
        <v>3184</v>
      </c>
      <c r="G40" s="18" t="s">
        <v>3185</v>
      </c>
      <c r="H40" s="18" t="s">
        <v>3186</v>
      </c>
      <c r="I40" s="18" t="s">
        <v>3187</v>
      </c>
      <c r="J40" s="18" t="s">
        <v>2288</v>
      </c>
      <c r="K40" s="18" t="s">
        <v>1944</v>
      </c>
      <c r="L40" s="18" t="s">
        <v>103</v>
      </c>
    </row>
    <row r="41" customFormat="false" ht="15" hidden="false" customHeight="false" outlineLevel="0" collapsed="false">
      <c r="A41" s="17" t="s">
        <v>3188</v>
      </c>
      <c r="B41" s="17" t="s">
        <v>2003</v>
      </c>
      <c r="C41" s="17" t="s">
        <v>3010</v>
      </c>
      <c r="D41" s="17" t="s">
        <v>2448</v>
      </c>
      <c r="E41" s="17" t="s">
        <v>3189</v>
      </c>
      <c r="F41" s="17" t="s">
        <v>2015</v>
      </c>
      <c r="G41" s="17" t="s">
        <v>3113</v>
      </c>
      <c r="H41" s="17" t="s">
        <v>3190</v>
      </c>
      <c r="I41" s="17" t="s">
        <v>3168</v>
      </c>
      <c r="J41" s="17" t="s">
        <v>2894</v>
      </c>
      <c r="K41" s="17" t="s">
        <v>1944</v>
      </c>
      <c r="L41" s="17" t="s">
        <v>103</v>
      </c>
    </row>
    <row r="42" customFormat="false" ht="23.85" hidden="false" customHeight="false" outlineLevel="0" collapsed="false">
      <c r="A42" s="18" t="s">
        <v>3191</v>
      </c>
      <c r="B42" s="18" t="s">
        <v>2003</v>
      </c>
      <c r="C42" s="18" t="s">
        <v>2980</v>
      </c>
      <c r="D42" s="18" t="s">
        <v>3192</v>
      </c>
      <c r="E42" s="18" t="s">
        <v>3193</v>
      </c>
      <c r="F42" s="18" t="s">
        <v>2015</v>
      </c>
      <c r="G42" s="18" t="s">
        <v>3194</v>
      </c>
      <c r="H42" s="18" t="s">
        <v>3195</v>
      </c>
      <c r="I42" s="18" t="s">
        <v>3196</v>
      </c>
      <c r="J42" s="18" t="s">
        <v>3197</v>
      </c>
      <c r="K42" s="18" t="s">
        <v>1944</v>
      </c>
      <c r="L42" s="18" t="s">
        <v>103</v>
      </c>
    </row>
    <row r="43" customFormat="false" ht="15" hidden="false" customHeight="false" outlineLevel="0" collapsed="false">
      <c r="A43" s="17" t="s">
        <v>3198</v>
      </c>
      <c r="B43" s="17" t="s">
        <v>2003</v>
      </c>
      <c r="C43" s="17" t="s">
        <v>2980</v>
      </c>
      <c r="D43" s="17" t="s">
        <v>3199</v>
      </c>
      <c r="E43" s="17" t="s">
        <v>3200</v>
      </c>
      <c r="F43" s="17" t="s">
        <v>3004</v>
      </c>
      <c r="G43" s="17" t="s">
        <v>3201</v>
      </c>
      <c r="H43" s="17" t="s">
        <v>3202</v>
      </c>
      <c r="I43" s="17" t="s">
        <v>3203</v>
      </c>
      <c r="J43" s="17" t="s">
        <v>2262</v>
      </c>
      <c r="K43" s="17" t="s">
        <v>1944</v>
      </c>
      <c r="L43" s="17" t="s">
        <v>103</v>
      </c>
    </row>
    <row r="44" customFormat="false" ht="15" hidden="false" customHeight="false" outlineLevel="0" collapsed="false">
      <c r="A44" s="18" t="s">
        <v>3204</v>
      </c>
      <c r="B44" s="18" t="s">
        <v>2003</v>
      </c>
      <c r="C44" s="18" t="s">
        <v>3010</v>
      </c>
      <c r="D44" s="18" t="s">
        <v>2460</v>
      </c>
      <c r="E44" s="18" t="s">
        <v>3205</v>
      </c>
      <c r="F44" s="18" t="s">
        <v>2015</v>
      </c>
      <c r="G44" s="18" t="s">
        <v>3113</v>
      </c>
      <c r="H44" s="18" t="s">
        <v>3076</v>
      </c>
      <c r="I44" s="18" t="s">
        <v>3133</v>
      </c>
      <c r="J44" s="18" t="s">
        <v>2262</v>
      </c>
      <c r="K44" s="18" t="s">
        <v>1944</v>
      </c>
      <c r="L44" s="18" t="s">
        <v>103</v>
      </c>
    </row>
    <row r="45" customFormat="false" ht="15" hidden="false" customHeight="false" outlineLevel="0" collapsed="false">
      <c r="A45" s="17" t="s">
        <v>3206</v>
      </c>
      <c r="B45" s="17" t="s">
        <v>3207</v>
      </c>
      <c r="C45" s="17" t="s">
        <v>2980</v>
      </c>
      <c r="D45" s="17" t="s">
        <v>3208</v>
      </c>
      <c r="E45" s="17" t="s">
        <v>3209</v>
      </c>
      <c r="F45" s="17" t="s">
        <v>3089</v>
      </c>
      <c r="G45" s="17" t="s">
        <v>3210</v>
      </c>
      <c r="H45" s="17" t="s">
        <v>3211</v>
      </c>
      <c r="I45" s="17" t="s">
        <v>3212</v>
      </c>
      <c r="J45" s="17" t="s">
        <v>2226</v>
      </c>
      <c r="K45" s="17" t="s">
        <v>1944</v>
      </c>
      <c r="L45" s="17" t="s">
        <v>103</v>
      </c>
    </row>
    <row r="46" customFormat="false" ht="15" hidden="false" customHeight="false" outlineLevel="0" collapsed="false">
      <c r="A46" s="18" t="s">
        <v>3213</v>
      </c>
      <c r="B46" s="18" t="s">
        <v>2015</v>
      </c>
      <c r="C46" s="18" t="s">
        <v>3010</v>
      </c>
      <c r="D46" s="18" t="s">
        <v>2456</v>
      </c>
      <c r="E46" s="18" t="s">
        <v>3214</v>
      </c>
      <c r="F46" s="18" t="s">
        <v>2015</v>
      </c>
      <c r="G46" s="18" t="s">
        <v>3215</v>
      </c>
      <c r="H46" s="18" t="s">
        <v>3076</v>
      </c>
      <c r="I46" s="18" t="s">
        <v>3133</v>
      </c>
      <c r="J46" s="18" t="s">
        <v>2178</v>
      </c>
      <c r="K46" s="18" t="s">
        <v>1944</v>
      </c>
      <c r="L46" s="18" t="s">
        <v>103</v>
      </c>
    </row>
    <row r="47" customFormat="false" ht="15" hidden="false" customHeight="false" outlineLevel="0" collapsed="false">
      <c r="A47" s="17" t="s">
        <v>3216</v>
      </c>
      <c r="B47" s="17" t="s">
        <v>2015</v>
      </c>
      <c r="C47" s="17" t="s">
        <v>3016</v>
      </c>
      <c r="D47" s="17" t="s">
        <v>3217</v>
      </c>
      <c r="E47" s="17" t="s">
        <v>3218</v>
      </c>
      <c r="F47" s="17" t="s">
        <v>2015</v>
      </c>
      <c r="G47" s="17" t="s">
        <v>3219</v>
      </c>
      <c r="H47" s="17" t="s">
        <v>3013</v>
      </c>
      <c r="I47" s="17" t="s">
        <v>3133</v>
      </c>
      <c r="J47" s="17" t="s">
        <v>3220</v>
      </c>
      <c r="K47" s="17" t="s">
        <v>1944</v>
      </c>
      <c r="L47" s="17" t="s">
        <v>103</v>
      </c>
    </row>
    <row r="48" customFormat="false" ht="15" hidden="false" customHeight="false" outlineLevel="0" collapsed="false">
      <c r="A48" s="18" t="s">
        <v>3221</v>
      </c>
      <c r="B48" s="18" t="s">
        <v>2015</v>
      </c>
      <c r="C48" s="18" t="s">
        <v>3010</v>
      </c>
      <c r="D48" s="18" t="s">
        <v>2468</v>
      </c>
      <c r="E48" s="18" t="s">
        <v>3222</v>
      </c>
      <c r="F48" s="18" t="s">
        <v>2015</v>
      </c>
      <c r="G48" s="18" t="s">
        <v>3223</v>
      </c>
      <c r="H48" s="18" t="s">
        <v>3076</v>
      </c>
      <c r="I48" s="18" t="s">
        <v>3133</v>
      </c>
      <c r="J48" s="18" t="s">
        <v>2268</v>
      </c>
      <c r="K48" s="18" t="s">
        <v>1944</v>
      </c>
      <c r="L48" s="18" t="s">
        <v>103</v>
      </c>
    </row>
    <row r="49" customFormat="false" ht="15" hidden="false" customHeight="false" outlineLevel="0" collapsed="false">
      <c r="A49" s="17" t="s">
        <v>3224</v>
      </c>
      <c r="B49" s="17" t="s">
        <v>2015</v>
      </c>
      <c r="C49" s="17" t="s">
        <v>2980</v>
      </c>
      <c r="D49" s="17" t="s">
        <v>2464</v>
      </c>
      <c r="E49" s="17" t="s">
        <v>3225</v>
      </c>
      <c r="F49" s="17" t="s">
        <v>2015</v>
      </c>
      <c r="G49" s="17" t="s">
        <v>3226</v>
      </c>
      <c r="H49" s="17" t="s">
        <v>3227</v>
      </c>
      <c r="I49" s="17" t="s">
        <v>3228</v>
      </c>
      <c r="J49" s="17" t="s">
        <v>3229</v>
      </c>
      <c r="K49" s="17" t="s">
        <v>1944</v>
      </c>
      <c r="L49" s="17" t="s">
        <v>103</v>
      </c>
    </row>
    <row r="50" customFormat="false" ht="15" hidden="false" customHeight="false" outlineLevel="0" collapsed="false">
      <c r="A50" s="18" t="s">
        <v>3230</v>
      </c>
      <c r="B50" s="18" t="s">
        <v>1962</v>
      </c>
      <c r="C50" s="18" t="s">
        <v>3010</v>
      </c>
      <c r="D50" s="18" t="s">
        <v>3231</v>
      </c>
      <c r="E50" s="18" t="s">
        <v>3232</v>
      </c>
      <c r="F50" s="18" t="s">
        <v>2983</v>
      </c>
      <c r="G50" s="18" t="s">
        <v>1947</v>
      </c>
      <c r="H50" s="18" t="s">
        <v>3233</v>
      </c>
      <c r="I50" s="18" t="s">
        <v>1947</v>
      </c>
      <c r="J50" s="18" t="s">
        <v>2114</v>
      </c>
      <c r="K50" s="18" t="s">
        <v>1944</v>
      </c>
      <c r="L50" s="18" t="s">
        <v>103</v>
      </c>
    </row>
    <row r="51" customFormat="false" ht="15" hidden="false" customHeight="false" outlineLevel="0" collapsed="false">
      <c r="A51" s="17" t="s">
        <v>3234</v>
      </c>
      <c r="B51" s="17" t="s">
        <v>3235</v>
      </c>
      <c r="C51" s="17" t="s">
        <v>2980</v>
      </c>
      <c r="D51" s="17" t="s">
        <v>3236</v>
      </c>
      <c r="E51" s="17" t="s">
        <v>3237</v>
      </c>
      <c r="F51" s="17" t="s">
        <v>3004</v>
      </c>
      <c r="G51" s="17" t="s">
        <v>3238</v>
      </c>
      <c r="H51" s="17" t="s">
        <v>3239</v>
      </c>
      <c r="I51" s="17" t="s">
        <v>3014</v>
      </c>
      <c r="J51" s="17" t="s">
        <v>2156</v>
      </c>
      <c r="K51" s="17" t="s">
        <v>2881</v>
      </c>
      <c r="L51" s="17" t="s">
        <v>103</v>
      </c>
    </row>
    <row r="52" customFormat="false" ht="15" hidden="false" customHeight="false" outlineLevel="0" collapsed="false">
      <c r="A52" s="18" t="s">
        <v>3240</v>
      </c>
      <c r="B52" s="18" t="s">
        <v>3241</v>
      </c>
      <c r="C52" s="18" t="s">
        <v>2980</v>
      </c>
      <c r="D52" s="18" t="s">
        <v>3242</v>
      </c>
      <c r="E52" s="18" t="s">
        <v>3243</v>
      </c>
      <c r="F52" s="18" t="s">
        <v>3082</v>
      </c>
      <c r="G52" s="18" t="s">
        <v>3244</v>
      </c>
      <c r="H52" s="18" t="s">
        <v>3245</v>
      </c>
      <c r="I52" s="18" t="s">
        <v>3246</v>
      </c>
      <c r="J52" s="18" t="s">
        <v>3247</v>
      </c>
      <c r="K52" s="18" t="s">
        <v>2941</v>
      </c>
      <c r="L52" s="18" t="s">
        <v>103</v>
      </c>
    </row>
    <row r="53" customFormat="false" ht="15" hidden="false" customHeight="false" outlineLevel="0" collapsed="false">
      <c r="A53" s="17" t="s">
        <v>3248</v>
      </c>
      <c r="B53" s="17" t="s">
        <v>3241</v>
      </c>
      <c r="C53" s="17" t="s">
        <v>2980</v>
      </c>
      <c r="D53" s="17" t="s">
        <v>3249</v>
      </c>
      <c r="E53" s="17" t="s">
        <v>3250</v>
      </c>
      <c r="F53" s="17" t="s">
        <v>3251</v>
      </c>
      <c r="G53" s="17" t="s">
        <v>3252</v>
      </c>
      <c r="H53" s="17" t="s">
        <v>3253</v>
      </c>
      <c r="I53" s="17" t="s">
        <v>3254</v>
      </c>
      <c r="J53" s="17" t="s">
        <v>3255</v>
      </c>
      <c r="K53" s="17" t="s">
        <v>2941</v>
      </c>
      <c r="L53" s="17" t="s">
        <v>103</v>
      </c>
    </row>
    <row r="54" customFormat="false" ht="15" hidden="false" customHeight="false" outlineLevel="0" collapsed="false">
      <c r="A54" s="18" t="s">
        <v>3256</v>
      </c>
      <c r="B54" s="18" t="s">
        <v>3257</v>
      </c>
      <c r="C54" s="18" t="s">
        <v>3010</v>
      </c>
      <c r="D54" s="18" t="s">
        <v>3258</v>
      </c>
      <c r="E54" s="18" t="s">
        <v>3259</v>
      </c>
      <c r="F54" s="18" t="s">
        <v>2983</v>
      </c>
      <c r="G54" s="18" t="s">
        <v>1947</v>
      </c>
      <c r="H54" s="18" t="s">
        <v>3260</v>
      </c>
      <c r="I54" s="18" t="s">
        <v>3261</v>
      </c>
      <c r="J54" s="18" t="s">
        <v>1947</v>
      </c>
      <c r="K54" s="18" t="s">
        <v>1944</v>
      </c>
      <c r="L54" s="18" t="s">
        <v>103</v>
      </c>
    </row>
  </sheetData>
  <autoFilter ref="A4:L54"/>
  <mergeCells count="2">
    <mergeCell ref="A1:J1"/>
    <mergeCell ref="A2:L2"/>
  </mergeCells>
  <conditionalFormatting sqref="L5:L54">
    <cfRule type="expression" priority="2" aboveAverage="0" equalAverage="0" bottom="0" percent="0" rank="0" text="" dxfId="16">
      <formula>EXACT($L5,"NOT STARTED")</formula>
    </cfRule>
    <cfRule type="expression" priority="3" aboveAverage="0" equalAverage="0" bottom="0" percent="0" rank="0" text="" dxfId="17">
      <formula>EXACT($L5,"IN PROGRESS")</formula>
    </cfRule>
    <cfRule type="expression" priority="4" aboveAverage="0" equalAverage="0" bottom="0" percent="0" rank="0" text="" dxfId="18">
      <formula>EXACT($L5,"BLOCKED")</formula>
    </cfRule>
    <cfRule type="expression" priority="5" aboveAverage="0" equalAverage="0" bottom="0" percent="0" rank="0" text="" dxfId="19">
      <formula>EXACT($L5,"REVIEW")</formula>
    </cfRule>
    <cfRule type="expression" priority="6" aboveAverage="0" equalAverage="0" bottom="0" percent="0" rank="0" text="" dxfId="20">
      <formula>EXACT($L5,"DONE")</formula>
    </cfRule>
    <cfRule type="expression" priority="7" aboveAverage="0" equalAverage="0" bottom="0" percent="0" rank="0" text="" dxfId="21">
      <formula>EXACT($L5,"DEFERRED")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L5:L5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64"/>
    <col collapsed="false" customWidth="true" hidden="false" outlineLevel="0" max="4" min="4" style="0" width="7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3262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3263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3264</v>
      </c>
      <c r="B4" s="16" t="s">
        <v>3265</v>
      </c>
      <c r="C4" s="16" t="s">
        <v>3266</v>
      </c>
      <c r="D4" s="16" t="s">
        <v>3267</v>
      </c>
      <c r="E4" s="16" t="s">
        <v>2097</v>
      </c>
      <c r="F4" s="16" t="s">
        <v>122</v>
      </c>
      <c r="G4" s="16" t="s">
        <v>128</v>
      </c>
    </row>
    <row r="5" customFormat="false" ht="23.85" hidden="false" customHeight="false" outlineLevel="0" collapsed="false">
      <c r="A5" s="17" t="s">
        <v>3268</v>
      </c>
      <c r="B5" s="17" t="s">
        <v>3269</v>
      </c>
      <c r="C5" s="17" t="s">
        <v>3270</v>
      </c>
      <c r="D5" s="17" t="s">
        <v>3271</v>
      </c>
      <c r="E5" s="17" t="s">
        <v>1944</v>
      </c>
      <c r="F5" s="17" t="s">
        <v>103</v>
      </c>
      <c r="G5" s="17" t="s">
        <v>14</v>
      </c>
    </row>
    <row r="6" customFormat="false" ht="23.85" hidden="false" customHeight="false" outlineLevel="0" collapsed="false">
      <c r="A6" s="18" t="s">
        <v>3268</v>
      </c>
      <c r="B6" s="18" t="s">
        <v>3272</v>
      </c>
      <c r="C6" s="18" t="s">
        <v>3273</v>
      </c>
      <c r="D6" s="18" t="s">
        <v>3274</v>
      </c>
      <c r="E6" s="18" t="s">
        <v>1944</v>
      </c>
      <c r="F6" s="18" t="s">
        <v>103</v>
      </c>
      <c r="G6" s="18" t="s">
        <v>14</v>
      </c>
    </row>
    <row r="7" customFormat="false" ht="23.85" hidden="false" customHeight="false" outlineLevel="0" collapsed="false">
      <c r="A7" s="17" t="s">
        <v>3275</v>
      </c>
      <c r="B7" s="17" t="s">
        <v>3276</v>
      </c>
      <c r="C7" s="17" t="s">
        <v>3277</v>
      </c>
      <c r="D7" s="17" t="s">
        <v>3278</v>
      </c>
      <c r="E7" s="17" t="s">
        <v>1944</v>
      </c>
      <c r="F7" s="17" t="s">
        <v>103</v>
      </c>
      <c r="G7" s="17" t="s">
        <v>14</v>
      </c>
    </row>
    <row r="8" customFormat="false" ht="23.85" hidden="false" customHeight="false" outlineLevel="0" collapsed="false">
      <c r="A8" s="18" t="s">
        <v>3275</v>
      </c>
      <c r="B8" s="18" t="s">
        <v>3279</v>
      </c>
      <c r="C8" s="18" t="s">
        <v>3280</v>
      </c>
      <c r="D8" s="18" t="s">
        <v>3281</v>
      </c>
      <c r="E8" s="18" t="s">
        <v>1944</v>
      </c>
      <c r="F8" s="18" t="s">
        <v>103</v>
      </c>
      <c r="G8" s="18" t="s">
        <v>14</v>
      </c>
    </row>
    <row r="9" customFormat="false" ht="23.85" hidden="false" customHeight="false" outlineLevel="0" collapsed="false">
      <c r="A9" s="17" t="s">
        <v>3275</v>
      </c>
      <c r="B9" s="17" t="s">
        <v>3282</v>
      </c>
      <c r="C9" s="17" t="s">
        <v>3283</v>
      </c>
      <c r="D9" s="17" t="s">
        <v>3284</v>
      </c>
      <c r="E9" s="17" t="s">
        <v>1944</v>
      </c>
      <c r="F9" s="17" t="s">
        <v>103</v>
      </c>
      <c r="G9" s="17" t="s">
        <v>14</v>
      </c>
    </row>
    <row r="10" customFormat="false" ht="23.85" hidden="false" customHeight="false" outlineLevel="0" collapsed="false">
      <c r="A10" s="18" t="s">
        <v>3285</v>
      </c>
      <c r="B10" s="18" t="s">
        <v>3286</v>
      </c>
      <c r="C10" s="18" t="s">
        <v>3287</v>
      </c>
      <c r="D10" s="18" t="s">
        <v>3288</v>
      </c>
      <c r="E10" s="18" t="s">
        <v>1944</v>
      </c>
      <c r="F10" s="18" t="s">
        <v>103</v>
      </c>
      <c r="G10" s="18" t="s">
        <v>14</v>
      </c>
    </row>
    <row r="11" customFormat="false" ht="23.85" hidden="false" customHeight="false" outlineLevel="0" collapsed="false">
      <c r="A11" s="17" t="s">
        <v>3285</v>
      </c>
      <c r="B11" s="17" t="s">
        <v>3289</v>
      </c>
      <c r="C11" s="17" t="s">
        <v>3290</v>
      </c>
      <c r="D11" s="17" t="s">
        <v>3291</v>
      </c>
      <c r="E11" s="17" t="s">
        <v>1944</v>
      </c>
      <c r="F11" s="17" t="s">
        <v>103</v>
      </c>
      <c r="G11" s="17" t="s">
        <v>14</v>
      </c>
    </row>
    <row r="12" customFormat="false" ht="23.85" hidden="false" customHeight="false" outlineLevel="0" collapsed="false">
      <c r="A12" s="18" t="s">
        <v>3285</v>
      </c>
      <c r="B12" s="18" t="s">
        <v>3292</v>
      </c>
      <c r="C12" s="18" t="s">
        <v>3293</v>
      </c>
      <c r="D12" s="18" t="s">
        <v>3294</v>
      </c>
      <c r="E12" s="18" t="s">
        <v>1944</v>
      </c>
      <c r="F12" s="18" t="s">
        <v>103</v>
      </c>
      <c r="G12" s="18" t="s">
        <v>14</v>
      </c>
    </row>
    <row r="13" customFormat="false" ht="23.85" hidden="false" customHeight="false" outlineLevel="0" collapsed="false">
      <c r="A13" s="17" t="s">
        <v>3285</v>
      </c>
      <c r="B13" s="17" t="s">
        <v>3295</v>
      </c>
      <c r="C13" s="17" t="s">
        <v>3296</v>
      </c>
      <c r="D13" s="17" t="s">
        <v>3297</v>
      </c>
      <c r="E13" s="17" t="s">
        <v>2030</v>
      </c>
      <c r="F13" s="17" t="s">
        <v>103</v>
      </c>
      <c r="G13" s="17" t="s">
        <v>14</v>
      </c>
    </row>
    <row r="14" customFormat="false" ht="23.85" hidden="false" customHeight="false" outlineLevel="0" collapsed="false">
      <c r="A14" s="18" t="s">
        <v>3298</v>
      </c>
      <c r="B14" s="18" t="s">
        <v>3299</v>
      </c>
      <c r="C14" s="18" t="s">
        <v>3300</v>
      </c>
      <c r="D14" s="18" t="s">
        <v>3301</v>
      </c>
      <c r="E14" s="18" t="s">
        <v>1944</v>
      </c>
      <c r="F14" s="18" t="s">
        <v>103</v>
      </c>
      <c r="G14" s="18" t="s">
        <v>14</v>
      </c>
    </row>
    <row r="15" customFormat="false" ht="23.85" hidden="false" customHeight="false" outlineLevel="0" collapsed="false">
      <c r="A15" s="17" t="s">
        <v>3298</v>
      </c>
      <c r="B15" s="17" t="s">
        <v>3302</v>
      </c>
      <c r="C15" s="17" t="s">
        <v>3303</v>
      </c>
      <c r="D15" s="17" t="s">
        <v>3304</v>
      </c>
      <c r="E15" s="17" t="s">
        <v>1944</v>
      </c>
      <c r="F15" s="17" t="s">
        <v>103</v>
      </c>
      <c r="G15" s="17" t="s">
        <v>14</v>
      </c>
    </row>
    <row r="16" customFormat="false" ht="23.85" hidden="false" customHeight="false" outlineLevel="0" collapsed="false">
      <c r="A16" s="18" t="s">
        <v>3305</v>
      </c>
      <c r="B16" s="18" t="s">
        <v>3306</v>
      </c>
      <c r="C16" s="18" t="s">
        <v>3307</v>
      </c>
      <c r="D16" s="18" t="s">
        <v>3308</v>
      </c>
      <c r="E16" s="18" t="s">
        <v>1944</v>
      </c>
      <c r="F16" s="18" t="s">
        <v>103</v>
      </c>
      <c r="G16" s="18" t="s">
        <v>14</v>
      </c>
    </row>
    <row r="17" customFormat="false" ht="23.85" hidden="false" customHeight="false" outlineLevel="0" collapsed="false">
      <c r="A17" s="17" t="s">
        <v>3305</v>
      </c>
      <c r="B17" s="17" t="s">
        <v>3309</v>
      </c>
      <c r="C17" s="17" t="s">
        <v>3310</v>
      </c>
      <c r="D17" s="17" t="s">
        <v>3311</v>
      </c>
      <c r="E17" s="17" t="s">
        <v>1944</v>
      </c>
      <c r="F17" s="17" t="s">
        <v>103</v>
      </c>
      <c r="G17" s="17" t="s">
        <v>14</v>
      </c>
    </row>
    <row r="18" customFormat="false" ht="23.85" hidden="false" customHeight="false" outlineLevel="0" collapsed="false">
      <c r="A18" s="18" t="s">
        <v>3305</v>
      </c>
      <c r="B18" s="18" t="s">
        <v>3312</v>
      </c>
      <c r="C18" s="18" t="s">
        <v>3313</v>
      </c>
      <c r="D18" s="18" t="s">
        <v>3314</v>
      </c>
      <c r="E18" s="18" t="s">
        <v>1944</v>
      </c>
      <c r="F18" s="18" t="s">
        <v>103</v>
      </c>
      <c r="G18" s="18" t="s">
        <v>14</v>
      </c>
    </row>
    <row r="19" customFormat="false" ht="23.85" hidden="false" customHeight="false" outlineLevel="0" collapsed="false">
      <c r="A19" s="17" t="s">
        <v>3305</v>
      </c>
      <c r="B19" s="17" t="s">
        <v>3315</v>
      </c>
      <c r="C19" s="17" t="s">
        <v>3316</v>
      </c>
      <c r="D19" s="17" t="s">
        <v>3317</v>
      </c>
      <c r="E19" s="17" t="s">
        <v>1944</v>
      </c>
      <c r="F19" s="17" t="s">
        <v>103</v>
      </c>
      <c r="G19" s="17" t="s">
        <v>14</v>
      </c>
    </row>
    <row r="20" customFormat="false" ht="23.85" hidden="false" customHeight="false" outlineLevel="0" collapsed="false">
      <c r="A20" s="18" t="s">
        <v>3305</v>
      </c>
      <c r="B20" s="18" t="s">
        <v>3318</v>
      </c>
      <c r="C20" s="18" t="s">
        <v>3319</v>
      </c>
      <c r="D20" s="18" t="s">
        <v>3320</v>
      </c>
      <c r="E20" s="18" t="s">
        <v>1944</v>
      </c>
      <c r="F20" s="18" t="s">
        <v>103</v>
      </c>
      <c r="G20" s="18" t="s">
        <v>14</v>
      </c>
    </row>
    <row r="21" customFormat="false" ht="23.85" hidden="false" customHeight="false" outlineLevel="0" collapsed="false">
      <c r="A21" s="17" t="s">
        <v>3321</v>
      </c>
      <c r="B21" s="17" t="s">
        <v>3322</v>
      </c>
      <c r="C21" s="17" t="s">
        <v>3323</v>
      </c>
      <c r="D21" s="17" t="s">
        <v>3324</v>
      </c>
      <c r="E21" s="17" t="s">
        <v>1944</v>
      </c>
      <c r="F21" s="17" t="s">
        <v>103</v>
      </c>
      <c r="G21" s="17" t="s">
        <v>14</v>
      </c>
    </row>
    <row r="22" customFormat="false" ht="23.85" hidden="false" customHeight="false" outlineLevel="0" collapsed="false">
      <c r="A22" s="18" t="s">
        <v>3321</v>
      </c>
      <c r="B22" s="18" t="s">
        <v>3325</v>
      </c>
      <c r="C22" s="18" t="s">
        <v>3326</v>
      </c>
      <c r="D22" s="18" t="s">
        <v>3327</v>
      </c>
      <c r="E22" s="18" t="s">
        <v>1944</v>
      </c>
      <c r="F22" s="18" t="s">
        <v>103</v>
      </c>
      <c r="G22" s="18" t="s">
        <v>14</v>
      </c>
    </row>
    <row r="23" customFormat="false" ht="23.85" hidden="false" customHeight="false" outlineLevel="0" collapsed="false">
      <c r="A23" s="17" t="s">
        <v>3321</v>
      </c>
      <c r="B23" s="17" t="s">
        <v>3328</v>
      </c>
      <c r="C23" s="17" t="s">
        <v>3329</v>
      </c>
      <c r="D23" s="17" t="s">
        <v>3330</v>
      </c>
      <c r="E23" s="17" t="s">
        <v>1944</v>
      </c>
      <c r="F23" s="17" t="s">
        <v>103</v>
      </c>
      <c r="G23" s="17" t="s">
        <v>14</v>
      </c>
    </row>
    <row r="24" customFormat="false" ht="23.85" hidden="false" customHeight="false" outlineLevel="0" collapsed="false">
      <c r="A24" s="18" t="s">
        <v>3321</v>
      </c>
      <c r="B24" s="18" t="s">
        <v>3331</v>
      </c>
      <c r="C24" s="18" t="s">
        <v>3332</v>
      </c>
      <c r="D24" s="18" t="s">
        <v>3333</v>
      </c>
      <c r="E24" s="18" t="s">
        <v>1944</v>
      </c>
      <c r="F24" s="18" t="s">
        <v>103</v>
      </c>
      <c r="G24" s="18" t="s">
        <v>14</v>
      </c>
    </row>
    <row r="25" customFormat="false" ht="23.85" hidden="false" customHeight="false" outlineLevel="0" collapsed="false">
      <c r="A25" s="17" t="s">
        <v>3321</v>
      </c>
      <c r="B25" s="17" t="s">
        <v>3334</v>
      </c>
      <c r="C25" s="17" t="s">
        <v>3335</v>
      </c>
      <c r="D25" s="17" t="s">
        <v>3336</v>
      </c>
      <c r="E25" s="17" t="s">
        <v>1944</v>
      </c>
      <c r="F25" s="17" t="s">
        <v>103</v>
      </c>
      <c r="G25" s="17" t="s">
        <v>14</v>
      </c>
    </row>
    <row r="26" customFormat="false" ht="23.85" hidden="false" customHeight="false" outlineLevel="0" collapsed="false">
      <c r="A26" s="18" t="s">
        <v>3321</v>
      </c>
      <c r="B26" s="18" t="s">
        <v>3337</v>
      </c>
      <c r="C26" s="18" t="s">
        <v>3338</v>
      </c>
      <c r="D26" s="18" t="s">
        <v>3339</v>
      </c>
      <c r="E26" s="18" t="s">
        <v>1944</v>
      </c>
      <c r="F26" s="18" t="s">
        <v>103</v>
      </c>
      <c r="G26" s="18" t="s">
        <v>14</v>
      </c>
    </row>
    <row r="27" customFormat="false" ht="23.85" hidden="false" customHeight="false" outlineLevel="0" collapsed="false">
      <c r="A27" s="17" t="s">
        <v>1943</v>
      </c>
      <c r="B27" s="17" t="s">
        <v>3340</v>
      </c>
      <c r="C27" s="17" t="s">
        <v>3341</v>
      </c>
      <c r="D27" s="17" t="s">
        <v>3342</v>
      </c>
      <c r="E27" s="17" t="s">
        <v>1944</v>
      </c>
      <c r="F27" s="17" t="s">
        <v>103</v>
      </c>
      <c r="G27" s="17" t="s">
        <v>14</v>
      </c>
    </row>
    <row r="28" customFormat="false" ht="23.85" hidden="false" customHeight="false" outlineLevel="0" collapsed="false">
      <c r="A28" s="18" t="s">
        <v>1943</v>
      </c>
      <c r="B28" s="18" t="s">
        <v>3343</v>
      </c>
      <c r="C28" s="18" t="s">
        <v>3344</v>
      </c>
      <c r="D28" s="18" t="s">
        <v>3345</v>
      </c>
      <c r="E28" s="18" t="s">
        <v>1944</v>
      </c>
      <c r="F28" s="18" t="s">
        <v>103</v>
      </c>
      <c r="G28" s="18" t="s">
        <v>14</v>
      </c>
    </row>
    <row r="29" customFormat="false" ht="23.85" hidden="false" customHeight="false" outlineLevel="0" collapsed="false">
      <c r="A29" s="17" t="s">
        <v>1943</v>
      </c>
      <c r="B29" s="17" t="s">
        <v>3346</v>
      </c>
      <c r="C29" s="17" t="s">
        <v>3347</v>
      </c>
      <c r="D29" s="17" t="s">
        <v>3348</v>
      </c>
      <c r="E29" s="17" t="s">
        <v>1944</v>
      </c>
      <c r="F29" s="17" t="s">
        <v>103</v>
      </c>
      <c r="G29" s="17" t="s">
        <v>14</v>
      </c>
    </row>
    <row r="30" customFormat="false" ht="23.85" hidden="false" customHeight="false" outlineLevel="0" collapsed="false">
      <c r="A30" s="18" t="s">
        <v>1943</v>
      </c>
      <c r="B30" s="18" t="s">
        <v>3349</v>
      </c>
      <c r="C30" s="18" t="s">
        <v>3350</v>
      </c>
      <c r="D30" s="18" t="s">
        <v>3351</v>
      </c>
      <c r="E30" s="18" t="s">
        <v>1944</v>
      </c>
      <c r="F30" s="18" t="s">
        <v>103</v>
      </c>
      <c r="G30" s="18" t="s">
        <v>14</v>
      </c>
    </row>
    <row r="31" customFormat="false" ht="23.85" hidden="false" customHeight="false" outlineLevel="0" collapsed="false">
      <c r="A31" s="17" t="s">
        <v>3352</v>
      </c>
      <c r="B31" s="17" t="s">
        <v>3353</v>
      </c>
      <c r="C31" s="17" t="s">
        <v>3354</v>
      </c>
      <c r="D31" s="17" t="s">
        <v>3355</v>
      </c>
      <c r="E31" s="17" t="s">
        <v>1944</v>
      </c>
      <c r="F31" s="17" t="s">
        <v>103</v>
      </c>
      <c r="G31" s="17" t="s">
        <v>14</v>
      </c>
    </row>
    <row r="32" customFormat="false" ht="23.85" hidden="false" customHeight="false" outlineLevel="0" collapsed="false">
      <c r="A32" s="18" t="s">
        <v>3352</v>
      </c>
      <c r="B32" s="18" t="s">
        <v>3356</v>
      </c>
      <c r="C32" s="18" t="s">
        <v>3357</v>
      </c>
      <c r="D32" s="18" t="s">
        <v>3358</v>
      </c>
      <c r="E32" s="18" t="s">
        <v>1944</v>
      </c>
      <c r="F32" s="18" t="s">
        <v>103</v>
      </c>
      <c r="G32" s="18" t="s">
        <v>14</v>
      </c>
    </row>
    <row r="33" customFormat="false" ht="23.85" hidden="false" customHeight="false" outlineLevel="0" collapsed="false">
      <c r="A33" s="17" t="s">
        <v>3352</v>
      </c>
      <c r="B33" s="17" t="s">
        <v>3359</v>
      </c>
      <c r="C33" s="17" t="s">
        <v>3360</v>
      </c>
      <c r="D33" s="17" t="s">
        <v>3361</v>
      </c>
      <c r="E33" s="17" t="s">
        <v>1944</v>
      </c>
      <c r="F33" s="17" t="s">
        <v>103</v>
      </c>
      <c r="G33" s="17" t="s">
        <v>14</v>
      </c>
    </row>
    <row r="34" customFormat="false" ht="23.85" hidden="false" customHeight="false" outlineLevel="0" collapsed="false">
      <c r="A34" s="18" t="s">
        <v>3352</v>
      </c>
      <c r="B34" s="18" t="s">
        <v>867</v>
      </c>
      <c r="C34" s="18" t="s">
        <v>3362</v>
      </c>
      <c r="D34" s="18" t="s">
        <v>3363</v>
      </c>
      <c r="E34" s="18" t="s">
        <v>1944</v>
      </c>
      <c r="F34" s="18" t="s">
        <v>103</v>
      </c>
      <c r="G34" s="18" t="s">
        <v>14</v>
      </c>
    </row>
    <row r="35" customFormat="false" ht="23.85" hidden="false" customHeight="false" outlineLevel="0" collapsed="false">
      <c r="A35" s="17" t="s">
        <v>3352</v>
      </c>
      <c r="B35" s="17" t="s">
        <v>3364</v>
      </c>
      <c r="C35" s="17" t="s">
        <v>3365</v>
      </c>
      <c r="D35" s="17" t="s">
        <v>3366</v>
      </c>
      <c r="E35" s="17" t="s">
        <v>1944</v>
      </c>
      <c r="F35" s="17" t="s">
        <v>103</v>
      </c>
      <c r="G35" s="17" t="s">
        <v>14</v>
      </c>
    </row>
    <row r="36" customFormat="false" ht="23.85" hidden="false" customHeight="false" outlineLevel="0" collapsed="false">
      <c r="A36" s="18" t="s">
        <v>3367</v>
      </c>
      <c r="B36" s="18" t="s">
        <v>3368</v>
      </c>
      <c r="C36" s="18" t="s">
        <v>3369</v>
      </c>
      <c r="D36" s="18" t="s">
        <v>3370</v>
      </c>
      <c r="E36" s="18" t="s">
        <v>1944</v>
      </c>
      <c r="F36" s="18" t="s">
        <v>103</v>
      </c>
      <c r="G36" s="18" t="s">
        <v>14</v>
      </c>
    </row>
    <row r="37" customFormat="false" ht="23.85" hidden="false" customHeight="false" outlineLevel="0" collapsed="false">
      <c r="A37" s="17" t="s">
        <v>3367</v>
      </c>
      <c r="B37" s="17" t="s">
        <v>3371</v>
      </c>
      <c r="C37" s="17" t="s">
        <v>3372</v>
      </c>
      <c r="D37" s="17" t="s">
        <v>3373</v>
      </c>
      <c r="E37" s="17" t="s">
        <v>1944</v>
      </c>
      <c r="F37" s="17" t="s">
        <v>103</v>
      </c>
      <c r="G37" s="17" t="s">
        <v>14</v>
      </c>
    </row>
    <row r="38" customFormat="false" ht="23.85" hidden="false" customHeight="false" outlineLevel="0" collapsed="false">
      <c r="A38" s="18" t="s">
        <v>3367</v>
      </c>
      <c r="B38" s="18" t="s">
        <v>1263</v>
      </c>
      <c r="C38" s="18" t="s">
        <v>3374</v>
      </c>
      <c r="D38" s="18" t="s">
        <v>3375</v>
      </c>
      <c r="E38" s="18" t="s">
        <v>1944</v>
      </c>
      <c r="F38" s="18" t="s">
        <v>103</v>
      </c>
      <c r="G38" s="18" t="s">
        <v>14</v>
      </c>
    </row>
    <row r="39" customFormat="false" ht="23.85" hidden="false" customHeight="false" outlineLevel="0" collapsed="false">
      <c r="A39" s="17" t="s">
        <v>3367</v>
      </c>
      <c r="B39" s="17" t="s">
        <v>3376</v>
      </c>
      <c r="C39" s="17" t="s">
        <v>3377</v>
      </c>
      <c r="D39" s="17" t="s">
        <v>3378</v>
      </c>
      <c r="E39" s="17" t="s">
        <v>1944</v>
      </c>
      <c r="F39" s="17" t="s">
        <v>103</v>
      </c>
      <c r="G39" s="17" t="s">
        <v>14</v>
      </c>
    </row>
    <row r="40" customFormat="false" ht="23.85" hidden="false" customHeight="false" outlineLevel="0" collapsed="false">
      <c r="A40" s="18" t="s">
        <v>3379</v>
      </c>
      <c r="B40" s="18" t="s">
        <v>3380</v>
      </c>
      <c r="C40" s="18" t="s">
        <v>3381</v>
      </c>
      <c r="D40" s="18" t="s">
        <v>3382</v>
      </c>
      <c r="E40" s="18" t="s">
        <v>1944</v>
      </c>
      <c r="F40" s="18" t="s">
        <v>103</v>
      </c>
      <c r="G40" s="18" t="s">
        <v>14</v>
      </c>
    </row>
    <row r="41" customFormat="false" ht="23.85" hidden="false" customHeight="false" outlineLevel="0" collapsed="false">
      <c r="A41" s="17" t="s">
        <v>3383</v>
      </c>
      <c r="B41" s="17" t="s">
        <v>3384</v>
      </c>
      <c r="C41" s="17" t="s">
        <v>3385</v>
      </c>
      <c r="D41" s="17" t="s">
        <v>3386</v>
      </c>
      <c r="E41" s="17" t="s">
        <v>1944</v>
      </c>
      <c r="F41" s="17" t="s">
        <v>103</v>
      </c>
      <c r="G41" s="17" t="s">
        <v>14</v>
      </c>
    </row>
    <row r="42" customFormat="false" ht="23.85" hidden="false" customHeight="false" outlineLevel="0" collapsed="false">
      <c r="A42" s="18" t="s">
        <v>3387</v>
      </c>
      <c r="B42" s="18" t="s">
        <v>3388</v>
      </c>
      <c r="C42" s="18" t="s">
        <v>3389</v>
      </c>
      <c r="D42" s="18" t="s">
        <v>3390</v>
      </c>
      <c r="E42" s="18" t="s">
        <v>1944</v>
      </c>
      <c r="F42" s="18" t="s">
        <v>103</v>
      </c>
      <c r="G42" s="18" t="s">
        <v>14</v>
      </c>
    </row>
    <row r="43" customFormat="false" ht="23.85" hidden="false" customHeight="false" outlineLevel="0" collapsed="false">
      <c r="A43" s="17" t="s">
        <v>3387</v>
      </c>
      <c r="B43" s="17" t="s">
        <v>876</v>
      </c>
      <c r="C43" s="17" t="s">
        <v>3391</v>
      </c>
      <c r="D43" s="17" t="s">
        <v>879</v>
      </c>
      <c r="E43" s="17" t="s">
        <v>1944</v>
      </c>
      <c r="F43" s="17" t="s">
        <v>103</v>
      </c>
      <c r="G43" s="17" t="s">
        <v>14</v>
      </c>
    </row>
    <row r="44" customFormat="false" ht="23.85" hidden="false" customHeight="false" outlineLevel="0" collapsed="false">
      <c r="A44" s="18" t="s">
        <v>3387</v>
      </c>
      <c r="B44" s="18" t="s">
        <v>3392</v>
      </c>
      <c r="C44" s="18" t="s">
        <v>3393</v>
      </c>
      <c r="D44" s="18" t="s">
        <v>3394</v>
      </c>
      <c r="E44" s="18" t="s">
        <v>1944</v>
      </c>
      <c r="F44" s="18" t="s">
        <v>103</v>
      </c>
      <c r="G44" s="18" t="s">
        <v>14</v>
      </c>
    </row>
    <row r="45" customFormat="false" ht="23.85" hidden="false" customHeight="false" outlineLevel="0" collapsed="false">
      <c r="A45" s="17" t="s">
        <v>3387</v>
      </c>
      <c r="B45" s="17" t="s">
        <v>3395</v>
      </c>
      <c r="C45" s="17" t="s">
        <v>3396</v>
      </c>
      <c r="D45" s="17" t="s">
        <v>3397</v>
      </c>
      <c r="E45" s="17" t="s">
        <v>1944</v>
      </c>
      <c r="F45" s="17" t="s">
        <v>103</v>
      </c>
      <c r="G45" s="17" t="s">
        <v>14</v>
      </c>
    </row>
    <row r="46" customFormat="false" ht="23.85" hidden="false" customHeight="false" outlineLevel="0" collapsed="false">
      <c r="A46" s="18" t="s">
        <v>3387</v>
      </c>
      <c r="B46" s="18" t="s">
        <v>3398</v>
      </c>
      <c r="C46" s="18" t="s">
        <v>3399</v>
      </c>
      <c r="D46" s="18" t="s">
        <v>3400</v>
      </c>
      <c r="E46" s="18" t="s">
        <v>2030</v>
      </c>
      <c r="F46" s="18" t="s">
        <v>103</v>
      </c>
      <c r="G46" s="18" t="s">
        <v>14</v>
      </c>
    </row>
    <row r="47" customFormat="false" ht="23.85" hidden="false" customHeight="false" outlineLevel="0" collapsed="false">
      <c r="A47" s="17" t="s">
        <v>3401</v>
      </c>
      <c r="B47" s="17" t="s">
        <v>3402</v>
      </c>
      <c r="C47" s="17" t="s">
        <v>3403</v>
      </c>
      <c r="D47" s="17" t="s">
        <v>3404</v>
      </c>
      <c r="E47" s="17" t="s">
        <v>1944</v>
      </c>
      <c r="F47" s="17" t="s">
        <v>103</v>
      </c>
      <c r="G47" s="17" t="s">
        <v>14</v>
      </c>
    </row>
    <row r="48" customFormat="false" ht="23.85" hidden="false" customHeight="false" outlineLevel="0" collapsed="false">
      <c r="A48" s="18" t="s">
        <v>3401</v>
      </c>
      <c r="B48" s="18" t="s">
        <v>3405</v>
      </c>
      <c r="C48" s="18" t="s">
        <v>3406</v>
      </c>
      <c r="D48" s="18" t="s">
        <v>3407</v>
      </c>
      <c r="E48" s="18" t="s">
        <v>1944</v>
      </c>
      <c r="F48" s="18" t="s">
        <v>103</v>
      </c>
      <c r="G48" s="18" t="s">
        <v>14</v>
      </c>
    </row>
    <row r="49" customFormat="false" ht="23.85" hidden="false" customHeight="false" outlineLevel="0" collapsed="false">
      <c r="A49" s="17" t="s">
        <v>3401</v>
      </c>
      <c r="B49" s="17" t="s">
        <v>3408</v>
      </c>
      <c r="C49" s="17" t="s">
        <v>3409</v>
      </c>
      <c r="D49" s="17" t="s">
        <v>3410</v>
      </c>
      <c r="E49" s="17" t="s">
        <v>1944</v>
      </c>
      <c r="F49" s="17" t="s">
        <v>103</v>
      </c>
      <c r="G49" s="17" t="s">
        <v>14</v>
      </c>
    </row>
    <row r="50" customFormat="false" ht="23.85" hidden="false" customHeight="false" outlineLevel="0" collapsed="false">
      <c r="A50" s="18" t="s">
        <v>3411</v>
      </c>
      <c r="B50" s="18" t="s">
        <v>912</v>
      </c>
      <c r="C50" s="18" t="s">
        <v>914</v>
      </c>
      <c r="D50" s="18" t="s">
        <v>3412</v>
      </c>
      <c r="E50" s="18" t="s">
        <v>1944</v>
      </c>
      <c r="F50" s="18" t="s">
        <v>103</v>
      </c>
      <c r="G50" s="18" t="s">
        <v>14</v>
      </c>
    </row>
    <row r="51" customFormat="false" ht="23.85" hidden="false" customHeight="false" outlineLevel="0" collapsed="false">
      <c r="A51" s="17" t="s">
        <v>3411</v>
      </c>
      <c r="B51" s="17" t="s">
        <v>3413</v>
      </c>
      <c r="C51" s="17" t="s">
        <v>3414</v>
      </c>
      <c r="D51" s="17" t="s">
        <v>3415</v>
      </c>
      <c r="E51" s="17" t="s">
        <v>1944</v>
      </c>
      <c r="F51" s="17" t="s">
        <v>103</v>
      </c>
      <c r="G51" s="17" t="s">
        <v>14</v>
      </c>
    </row>
    <row r="52" customFormat="false" ht="23.85" hidden="false" customHeight="false" outlineLevel="0" collapsed="false">
      <c r="A52" s="18" t="s">
        <v>3416</v>
      </c>
      <c r="B52" s="18" t="s">
        <v>3417</v>
      </c>
      <c r="C52" s="18" t="s">
        <v>3418</v>
      </c>
      <c r="D52" s="18" t="s">
        <v>3419</v>
      </c>
      <c r="E52" s="18" t="s">
        <v>1944</v>
      </c>
      <c r="F52" s="18" t="s">
        <v>103</v>
      </c>
      <c r="G52" s="18" t="s">
        <v>14</v>
      </c>
    </row>
    <row r="53" customFormat="false" ht="23.85" hidden="false" customHeight="false" outlineLevel="0" collapsed="false">
      <c r="A53" s="17" t="s">
        <v>3416</v>
      </c>
      <c r="B53" s="17" t="s">
        <v>3420</v>
      </c>
      <c r="C53" s="17" t="s">
        <v>3421</v>
      </c>
      <c r="D53" s="17" t="s">
        <v>3422</v>
      </c>
      <c r="E53" s="17" t="s">
        <v>1944</v>
      </c>
      <c r="F53" s="17" t="s">
        <v>103</v>
      </c>
      <c r="G53" s="17" t="s">
        <v>14</v>
      </c>
    </row>
    <row r="54" customFormat="false" ht="23.85" hidden="false" customHeight="false" outlineLevel="0" collapsed="false">
      <c r="A54" s="18" t="s">
        <v>3416</v>
      </c>
      <c r="B54" s="18" t="s">
        <v>760</v>
      </c>
      <c r="C54" s="18" t="s">
        <v>3423</v>
      </c>
      <c r="D54" s="18" t="s">
        <v>763</v>
      </c>
      <c r="E54" s="18" t="s">
        <v>1944</v>
      </c>
      <c r="F54" s="18" t="s">
        <v>103</v>
      </c>
      <c r="G54" s="18" t="s">
        <v>14</v>
      </c>
    </row>
    <row r="55" customFormat="false" ht="23.85" hidden="false" customHeight="false" outlineLevel="0" collapsed="false">
      <c r="A55" s="17" t="s">
        <v>3416</v>
      </c>
      <c r="B55" s="17" t="s">
        <v>3424</v>
      </c>
      <c r="C55" s="17" t="s">
        <v>3425</v>
      </c>
      <c r="D55" s="17" t="s">
        <v>3426</v>
      </c>
      <c r="E55" s="17" t="s">
        <v>1944</v>
      </c>
      <c r="F55" s="17" t="s">
        <v>103</v>
      </c>
      <c r="G55" s="17" t="s">
        <v>14</v>
      </c>
    </row>
    <row r="56" customFormat="false" ht="23.85" hidden="false" customHeight="false" outlineLevel="0" collapsed="false">
      <c r="A56" s="18" t="s">
        <v>2779</v>
      </c>
      <c r="B56" s="18" t="s">
        <v>3427</v>
      </c>
      <c r="C56" s="18" t="s">
        <v>3428</v>
      </c>
      <c r="D56" s="18" t="s">
        <v>3429</v>
      </c>
      <c r="E56" s="18" t="s">
        <v>1944</v>
      </c>
      <c r="F56" s="18" t="s">
        <v>103</v>
      </c>
      <c r="G56" s="18" t="s">
        <v>14</v>
      </c>
    </row>
    <row r="57" customFormat="false" ht="23.85" hidden="false" customHeight="false" outlineLevel="0" collapsed="false">
      <c r="A57" s="17" t="s">
        <v>2779</v>
      </c>
      <c r="B57" s="17" t="s">
        <v>3430</v>
      </c>
      <c r="C57" s="17" t="s">
        <v>3431</v>
      </c>
      <c r="D57" s="17" t="s">
        <v>3432</v>
      </c>
      <c r="E57" s="17" t="s">
        <v>1944</v>
      </c>
      <c r="F57" s="17" t="s">
        <v>103</v>
      </c>
      <c r="G57" s="17" t="s">
        <v>14</v>
      </c>
    </row>
    <row r="58" customFormat="false" ht="23.85" hidden="false" customHeight="false" outlineLevel="0" collapsed="false">
      <c r="A58" s="18" t="s">
        <v>2779</v>
      </c>
      <c r="B58" s="18" t="s">
        <v>1025</v>
      </c>
      <c r="C58" s="18" t="s">
        <v>3433</v>
      </c>
      <c r="D58" s="18" t="s">
        <v>3434</v>
      </c>
      <c r="E58" s="18" t="s">
        <v>1944</v>
      </c>
      <c r="F58" s="18" t="s">
        <v>103</v>
      </c>
      <c r="G58" s="18" t="s">
        <v>14</v>
      </c>
    </row>
    <row r="59" customFormat="false" ht="15" hidden="false" customHeight="false" outlineLevel="0" collapsed="false">
      <c r="A59" s="17" t="s">
        <v>3435</v>
      </c>
      <c r="B59" s="17" t="s">
        <v>3436</v>
      </c>
      <c r="C59" s="17" t="s">
        <v>3437</v>
      </c>
      <c r="D59" s="17" t="s">
        <v>3438</v>
      </c>
      <c r="E59" s="17" t="s">
        <v>1944</v>
      </c>
      <c r="F59" s="17" t="s">
        <v>103</v>
      </c>
      <c r="G59" s="17" t="s">
        <v>16</v>
      </c>
    </row>
    <row r="60" customFormat="false" ht="15" hidden="false" customHeight="false" outlineLevel="0" collapsed="false">
      <c r="A60" s="18" t="s">
        <v>3435</v>
      </c>
      <c r="B60" s="18" t="s">
        <v>3439</v>
      </c>
      <c r="C60" s="18" t="s">
        <v>3440</v>
      </c>
      <c r="D60" s="18" t="s">
        <v>3441</v>
      </c>
      <c r="E60" s="18" t="s">
        <v>1944</v>
      </c>
      <c r="F60" s="18" t="s">
        <v>103</v>
      </c>
      <c r="G60" s="18" t="s">
        <v>16</v>
      </c>
    </row>
    <row r="61" customFormat="false" ht="23.85" hidden="false" customHeight="false" outlineLevel="0" collapsed="false">
      <c r="A61" s="17" t="s">
        <v>3442</v>
      </c>
      <c r="B61" s="17" t="s">
        <v>3443</v>
      </c>
      <c r="C61" s="17" t="s">
        <v>3444</v>
      </c>
      <c r="D61" s="17" t="s">
        <v>3445</v>
      </c>
      <c r="E61" s="17" t="s">
        <v>1944</v>
      </c>
      <c r="F61" s="17" t="s">
        <v>103</v>
      </c>
      <c r="G61" s="17" t="s">
        <v>14</v>
      </c>
    </row>
    <row r="62" customFormat="false" ht="23.85" hidden="false" customHeight="false" outlineLevel="0" collapsed="false">
      <c r="A62" s="18" t="s">
        <v>3442</v>
      </c>
      <c r="B62" s="18" t="s">
        <v>3446</v>
      </c>
      <c r="C62" s="18" t="s">
        <v>3447</v>
      </c>
      <c r="D62" s="18" t="s">
        <v>3448</v>
      </c>
      <c r="E62" s="18" t="s">
        <v>1944</v>
      </c>
      <c r="F62" s="18" t="s">
        <v>103</v>
      </c>
      <c r="G62" s="18" t="s">
        <v>14</v>
      </c>
    </row>
    <row r="63" customFormat="false" ht="23.85" hidden="false" customHeight="false" outlineLevel="0" collapsed="false">
      <c r="A63" s="17" t="s">
        <v>3442</v>
      </c>
      <c r="B63" s="17" t="s">
        <v>3449</v>
      </c>
      <c r="C63" s="17" t="s">
        <v>3450</v>
      </c>
      <c r="D63" s="17" t="s">
        <v>3451</v>
      </c>
      <c r="E63" s="17" t="s">
        <v>1944</v>
      </c>
      <c r="F63" s="17" t="s">
        <v>103</v>
      </c>
      <c r="G63" s="17" t="s">
        <v>14</v>
      </c>
    </row>
    <row r="64" customFormat="false" ht="23.85" hidden="false" customHeight="false" outlineLevel="0" collapsed="false">
      <c r="A64" s="18" t="s">
        <v>3442</v>
      </c>
      <c r="B64" s="18" t="s">
        <v>3452</v>
      </c>
      <c r="C64" s="18" t="s">
        <v>3453</v>
      </c>
      <c r="D64" s="18" t="s">
        <v>3454</v>
      </c>
      <c r="E64" s="18" t="s">
        <v>1944</v>
      </c>
      <c r="F64" s="18" t="s">
        <v>103</v>
      </c>
      <c r="G64" s="18" t="s">
        <v>14</v>
      </c>
    </row>
    <row r="65" customFormat="false" ht="23.85" hidden="false" customHeight="false" outlineLevel="0" collapsed="false">
      <c r="A65" s="17" t="s">
        <v>3455</v>
      </c>
      <c r="B65" s="17" t="s">
        <v>3456</v>
      </c>
      <c r="C65" s="17" t="s">
        <v>3457</v>
      </c>
      <c r="D65" s="17" t="s">
        <v>3458</v>
      </c>
      <c r="E65" s="17" t="s">
        <v>1944</v>
      </c>
      <c r="F65" s="17" t="s">
        <v>103</v>
      </c>
      <c r="G65" s="17" t="s">
        <v>14</v>
      </c>
    </row>
    <row r="66" customFormat="false" ht="23.85" hidden="false" customHeight="false" outlineLevel="0" collapsed="false">
      <c r="A66" s="18" t="s">
        <v>3455</v>
      </c>
      <c r="B66" s="18" t="s">
        <v>3459</v>
      </c>
      <c r="C66" s="18" t="s">
        <v>3460</v>
      </c>
      <c r="D66" s="18" t="s">
        <v>3461</v>
      </c>
      <c r="E66" s="18" t="s">
        <v>1944</v>
      </c>
      <c r="F66" s="18" t="s">
        <v>103</v>
      </c>
      <c r="G66" s="18" t="s">
        <v>14</v>
      </c>
    </row>
    <row r="67" customFormat="false" ht="23.85" hidden="false" customHeight="false" outlineLevel="0" collapsed="false">
      <c r="A67" s="17" t="s">
        <v>3455</v>
      </c>
      <c r="B67" s="17" t="s">
        <v>3462</v>
      </c>
      <c r="C67" s="17" t="s">
        <v>3463</v>
      </c>
      <c r="D67" s="17" t="s">
        <v>3464</v>
      </c>
      <c r="E67" s="17" t="s">
        <v>1944</v>
      </c>
      <c r="F67" s="17" t="s">
        <v>103</v>
      </c>
      <c r="G67" s="17" t="s">
        <v>14</v>
      </c>
    </row>
    <row r="68" customFormat="false" ht="23.85" hidden="false" customHeight="false" outlineLevel="0" collapsed="false">
      <c r="A68" s="18" t="s">
        <v>3455</v>
      </c>
      <c r="B68" s="18" t="s">
        <v>3465</v>
      </c>
      <c r="C68" s="18" t="s">
        <v>3466</v>
      </c>
      <c r="D68" s="18" t="s">
        <v>3467</v>
      </c>
      <c r="E68" s="18" t="s">
        <v>1944</v>
      </c>
      <c r="F68" s="18" t="s">
        <v>103</v>
      </c>
      <c r="G68" s="18" t="s">
        <v>14</v>
      </c>
    </row>
    <row r="69" customFormat="false" ht="23.85" hidden="false" customHeight="false" outlineLevel="0" collapsed="false">
      <c r="A69" s="17" t="s">
        <v>3455</v>
      </c>
      <c r="B69" s="17" t="s">
        <v>3468</v>
      </c>
      <c r="C69" s="17" t="s">
        <v>3469</v>
      </c>
      <c r="D69" s="17" t="s">
        <v>3470</v>
      </c>
      <c r="E69" s="17" t="s">
        <v>1944</v>
      </c>
      <c r="F69" s="17" t="s">
        <v>103</v>
      </c>
      <c r="G69" s="17" t="s">
        <v>14</v>
      </c>
    </row>
    <row r="70" customFormat="false" ht="23.85" hidden="false" customHeight="false" outlineLevel="0" collapsed="false">
      <c r="A70" s="18" t="s">
        <v>3471</v>
      </c>
      <c r="B70" s="18" t="s">
        <v>3472</v>
      </c>
      <c r="C70" s="18" t="s">
        <v>3473</v>
      </c>
      <c r="D70" s="18" t="s">
        <v>3474</v>
      </c>
      <c r="E70" s="18" t="s">
        <v>1944</v>
      </c>
      <c r="F70" s="18" t="s">
        <v>103</v>
      </c>
      <c r="G70" s="18" t="s">
        <v>14</v>
      </c>
    </row>
    <row r="71" customFormat="false" ht="23.85" hidden="false" customHeight="false" outlineLevel="0" collapsed="false">
      <c r="A71" s="17" t="s">
        <v>3471</v>
      </c>
      <c r="B71" s="17" t="s">
        <v>3475</v>
      </c>
      <c r="C71" s="17" t="s">
        <v>3476</v>
      </c>
      <c r="D71" s="17" t="s">
        <v>3477</v>
      </c>
      <c r="E71" s="17" t="s">
        <v>1944</v>
      </c>
      <c r="F71" s="17" t="s">
        <v>103</v>
      </c>
      <c r="G71" s="17" t="s">
        <v>14</v>
      </c>
    </row>
    <row r="72" customFormat="false" ht="23.85" hidden="false" customHeight="false" outlineLevel="0" collapsed="false">
      <c r="A72" s="18" t="s">
        <v>3471</v>
      </c>
      <c r="B72" s="18" t="s">
        <v>3478</v>
      </c>
      <c r="C72" s="18" t="s">
        <v>3479</v>
      </c>
      <c r="D72" s="18" t="s">
        <v>3480</v>
      </c>
      <c r="E72" s="18" t="s">
        <v>1944</v>
      </c>
      <c r="F72" s="18" t="s">
        <v>103</v>
      </c>
      <c r="G72" s="18" t="s">
        <v>14</v>
      </c>
    </row>
  </sheetData>
  <autoFilter ref="A4:G72"/>
  <mergeCells count="2">
    <mergeCell ref="A1:G1"/>
    <mergeCell ref="A2:G2"/>
  </mergeCells>
  <conditionalFormatting sqref="F5:F72">
    <cfRule type="expression" priority="2" aboveAverage="0" equalAverage="0" bottom="0" percent="0" rank="0" text="" dxfId="16">
      <formula>EXACT($F5,"NOT STARTED")</formula>
    </cfRule>
    <cfRule type="expression" priority="3" aboveAverage="0" equalAverage="0" bottom="0" percent="0" rank="0" text="" dxfId="17">
      <formula>EXACT($F5,"IN PROGRESS")</formula>
    </cfRule>
    <cfRule type="expression" priority="4" aboveAverage="0" equalAverage="0" bottom="0" percent="0" rank="0" text="" dxfId="18">
      <formula>EXACT($F5,"BLOCKED")</formula>
    </cfRule>
    <cfRule type="expression" priority="5" aboveAverage="0" equalAverage="0" bottom="0" percent="0" rank="0" text="" dxfId="19">
      <formula>EXACT($F5,"REVIEW")</formula>
    </cfRule>
    <cfRule type="expression" priority="6" aboveAverage="0" equalAverage="0" bottom="0" percent="0" rank="0" text="" dxfId="20">
      <formula>EXACT($F5,"DONE")</formula>
    </cfRule>
    <cfRule type="expression" priority="7" aboveAverage="0" equalAverage="0" bottom="0" percent="0" rank="0" text="" dxfId="21">
      <formula>EXACT($F5,"DEFERRED")</formula>
    </cfRule>
  </conditionalFormatting>
  <conditionalFormatting sqref="G5:G72">
    <cfRule type="expression" priority="8" aboveAverage="0" equalAverage="0" bottom="0" percent="0" rank="0" text="" dxfId="20">
      <formula>EXACT($G5,"OBSERVED FROM RESEARCH")</formula>
    </cfRule>
    <cfRule type="expression" priority="9" aboveAverage="0" equalAverage="0" bottom="0" percent="0" rank="0" text="" dxfId="19">
      <formula>EXACT($G5,"PROPOSED")</formula>
    </cfRule>
    <cfRule type="expression" priority="10" aboveAverage="0" equalAverage="0" bottom="0" percent="0" rank="0" text="" dxfId="23">
      <formula>EXACT($G5,"DECISION REQUIRED")</formula>
    </cfRule>
    <cfRule type="expression" priority="11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72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64"/>
    <col collapsed="false" customWidth="true" hidden="false" outlineLevel="0" max="4" min="4" style="0" width="7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3481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3482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3264</v>
      </c>
      <c r="B4" s="16" t="s">
        <v>3265</v>
      </c>
      <c r="C4" s="16" t="s">
        <v>3483</v>
      </c>
      <c r="D4" s="16" t="s">
        <v>3267</v>
      </c>
      <c r="E4" s="16" t="s">
        <v>3484</v>
      </c>
      <c r="F4" s="16" t="s">
        <v>122</v>
      </c>
      <c r="G4" s="16" t="s">
        <v>128</v>
      </c>
    </row>
    <row r="5" customFormat="false" ht="23.85" hidden="false" customHeight="false" outlineLevel="0" collapsed="false">
      <c r="A5" s="17" t="s">
        <v>3485</v>
      </c>
      <c r="B5" s="17" t="s">
        <v>3486</v>
      </c>
      <c r="C5" s="17" t="s">
        <v>3487</v>
      </c>
      <c r="D5" s="17" t="s">
        <v>3488</v>
      </c>
      <c r="E5" s="17" t="s">
        <v>1944</v>
      </c>
      <c r="F5" s="17" t="s">
        <v>103</v>
      </c>
      <c r="G5" s="17" t="s">
        <v>14</v>
      </c>
    </row>
    <row r="6" customFormat="false" ht="23.85" hidden="false" customHeight="false" outlineLevel="0" collapsed="false">
      <c r="A6" s="18" t="s">
        <v>3485</v>
      </c>
      <c r="B6" s="18" t="s">
        <v>3489</v>
      </c>
      <c r="C6" s="18" t="s">
        <v>3490</v>
      </c>
      <c r="D6" s="18" t="s">
        <v>3491</v>
      </c>
      <c r="E6" s="18" t="s">
        <v>1944</v>
      </c>
      <c r="F6" s="18" t="s">
        <v>103</v>
      </c>
      <c r="G6" s="18" t="s">
        <v>14</v>
      </c>
    </row>
    <row r="7" customFormat="false" ht="23.85" hidden="false" customHeight="false" outlineLevel="0" collapsed="false">
      <c r="A7" s="17" t="s">
        <v>3485</v>
      </c>
      <c r="B7" s="17" t="s">
        <v>3492</v>
      </c>
      <c r="C7" s="17" t="s">
        <v>3493</v>
      </c>
      <c r="D7" s="17" t="s">
        <v>3494</v>
      </c>
      <c r="E7" s="17" t="s">
        <v>1944</v>
      </c>
      <c r="F7" s="17" t="s">
        <v>103</v>
      </c>
      <c r="G7" s="17" t="s">
        <v>14</v>
      </c>
    </row>
    <row r="8" customFormat="false" ht="23.85" hidden="false" customHeight="false" outlineLevel="0" collapsed="false">
      <c r="A8" s="18" t="s">
        <v>3485</v>
      </c>
      <c r="B8" s="18" t="s">
        <v>3495</v>
      </c>
      <c r="C8" s="18" t="s">
        <v>3496</v>
      </c>
      <c r="D8" s="18" t="s">
        <v>3497</v>
      </c>
      <c r="E8" s="18" t="s">
        <v>1944</v>
      </c>
      <c r="F8" s="18" t="s">
        <v>103</v>
      </c>
      <c r="G8" s="18" t="s">
        <v>14</v>
      </c>
    </row>
    <row r="9" customFormat="false" ht="23.85" hidden="false" customHeight="false" outlineLevel="0" collapsed="false">
      <c r="A9" s="17" t="s">
        <v>3485</v>
      </c>
      <c r="B9" s="17" t="s">
        <v>3498</v>
      </c>
      <c r="C9" s="17" t="s">
        <v>3499</v>
      </c>
      <c r="D9" s="17" t="s">
        <v>3500</v>
      </c>
      <c r="E9" s="17" t="s">
        <v>1944</v>
      </c>
      <c r="F9" s="17" t="s">
        <v>103</v>
      </c>
      <c r="G9" s="17" t="s">
        <v>14</v>
      </c>
    </row>
    <row r="10" customFormat="false" ht="23.85" hidden="false" customHeight="false" outlineLevel="0" collapsed="false">
      <c r="A10" s="18" t="s">
        <v>3501</v>
      </c>
      <c r="B10" s="18" t="s">
        <v>3502</v>
      </c>
      <c r="C10" s="18" t="s">
        <v>3503</v>
      </c>
      <c r="D10" s="18" t="s">
        <v>3504</v>
      </c>
      <c r="E10" s="18" t="s">
        <v>1944</v>
      </c>
      <c r="F10" s="18" t="s">
        <v>103</v>
      </c>
      <c r="G10" s="18" t="s">
        <v>14</v>
      </c>
    </row>
    <row r="11" customFormat="false" ht="23.85" hidden="false" customHeight="false" outlineLevel="0" collapsed="false">
      <c r="A11" s="17" t="s">
        <v>3501</v>
      </c>
      <c r="B11" s="17" t="s">
        <v>3505</v>
      </c>
      <c r="C11" s="17" t="s">
        <v>3506</v>
      </c>
      <c r="D11" s="17" t="s">
        <v>3507</v>
      </c>
      <c r="E11" s="17" t="s">
        <v>1944</v>
      </c>
      <c r="F11" s="17" t="s">
        <v>103</v>
      </c>
      <c r="G11" s="17" t="s">
        <v>14</v>
      </c>
    </row>
    <row r="12" customFormat="false" ht="23.85" hidden="false" customHeight="false" outlineLevel="0" collapsed="false">
      <c r="A12" s="18" t="s">
        <v>3508</v>
      </c>
      <c r="B12" s="18" t="s">
        <v>3509</v>
      </c>
      <c r="C12" s="18" t="s">
        <v>3510</v>
      </c>
      <c r="D12" s="18" t="s">
        <v>3511</v>
      </c>
      <c r="E12" s="18" t="s">
        <v>1944</v>
      </c>
      <c r="F12" s="18" t="s">
        <v>103</v>
      </c>
      <c r="G12" s="18" t="s">
        <v>14</v>
      </c>
    </row>
    <row r="13" customFormat="false" ht="23.85" hidden="false" customHeight="false" outlineLevel="0" collapsed="false">
      <c r="A13" s="17" t="s">
        <v>3508</v>
      </c>
      <c r="B13" s="17" t="s">
        <v>3512</v>
      </c>
      <c r="C13" s="17" t="s">
        <v>3513</v>
      </c>
      <c r="D13" s="17" t="s">
        <v>3514</v>
      </c>
      <c r="E13" s="17" t="s">
        <v>1944</v>
      </c>
      <c r="F13" s="17" t="s">
        <v>103</v>
      </c>
      <c r="G13" s="17" t="s">
        <v>14</v>
      </c>
    </row>
    <row r="14" customFormat="false" ht="23.85" hidden="false" customHeight="false" outlineLevel="0" collapsed="false">
      <c r="A14" s="18" t="s">
        <v>3515</v>
      </c>
      <c r="B14" s="18" t="s">
        <v>3516</v>
      </c>
      <c r="C14" s="18" t="s">
        <v>3517</v>
      </c>
      <c r="D14" s="18" t="s">
        <v>3518</v>
      </c>
      <c r="E14" s="18" t="s">
        <v>1944</v>
      </c>
      <c r="F14" s="18" t="s">
        <v>103</v>
      </c>
      <c r="G14" s="18" t="s">
        <v>14</v>
      </c>
    </row>
    <row r="15" customFormat="false" ht="23.85" hidden="false" customHeight="false" outlineLevel="0" collapsed="false">
      <c r="A15" s="17" t="s">
        <v>3515</v>
      </c>
      <c r="B15" s="17" t="s">
        <v>3519</v>
      </c>
      <c r="C15" s="17" t="s">
        <v>3520</v>
      </c>
      <c r="D15" s="17" t="s">
        <v>3521</v>
      </c>
      <c r="E15" s="17" t="s">
        <v>1944</v>
      </c>
      <c r="F15" s="17" t="s">
        <v>103</v>
      </c>
      <c r="G15" s="17" t="s">
        <v>14</v>
      </c>
    </row>
    <row r="16" customFormat="false" ht="23.85" hidden="false" customHeight="false" outlineLevel="0" collapsed="false">
      <c r="A16" s="18" t="s">
        <v>3522</v>
      </c>
      <c r="B16" s="18" t="s">
        <v>3523</v>
      </c>
      <c r="C16" s="18" t="s">
        <v>3524</v>
      </c>
      <c r="D16" s="18" t="s">
        <v>3525</v>
      </c>
      <c r="E16" s="18" t="s">
        <v>1944</v>
      </c>
      <c r="F16" s="18" t="s">
        <v>103</v>
      </c>
      <c r="G16" s="18" t="s">
        <v>14</v>
      </c>
    </row>
    <row r="17" customFormat="false" ht="23.85" hidden="false" customHeight="false" outlineLevel="0" collapsed="false">
      <c r="A17" s="17" t="s">
        <v>3522</v>
      </c>
      <c r="B17" s="17" t="s">
        <v>3526</v>
      </c>
      <c r="C17" s="17" t="s">
        <v>3527</v>
      </c>
      <c r="D17" s="17" t="s">
        <v>3528</v>
      </c>
      <c r="E17" s="17" t="s">
        <v>1944</v>
      </c>
      <c r="F17" s="17" t="s">
        <v>103</v>
      </c>
      <c r="G17" s="17" t="s">
        <v>14</v>
      </c>
    </row>
    <row r="18" customFormat="false" ht="23.85" hidden="false" customHeight="false" outlineLevel="0" collapsed="false">
      <c r="A18" s="18" t="s">
        <v>3522</v>
      </c>
      <c r="B18" s="18" t="s">
        <v>3529</v>
      </c>
      <c r="C18" s="18" t="s">
        <v>3530</v>
      </c>
      <c r="D18" s="18" t="s">
        <v>3531</v>
      </c>
      <c r="E18" s="18" t="s">
        <v>1944</v>
      </c>
      <c r="F18" s="18" t="s">
        <v>103</v>
      </c>
      <c r="G18" s="18" t="s">
        <v>14</v>
      </c>
    </row>
    <row r="19" customFormat="false" ht="23.85" hidden="false" customHeight="false" outlineLevel="0" collapsed="false">
      <c r="A19" s="17" t="s">
        <v>3522</v>
      </c>
      <c r="B19" s="17" t="s">
        <v>3532</v>
      </c>
      <c r="C19" s="17" t="s">
        <v>3533</v>
      </c>
      <c r="D19" s="17" t="s">
        <v>3534</v>
      </c>
      <c r="E19" s="17" t="s">
        <v>3535</v>
      </c>
      <c r="F19" s="17" t="s">
        <v>103</v>
      </c>
      <c r="G19" s="17" t="s">
        <v>14</v>
      </c>
    </row>
    <row r="20" customFormat="false" ht="23.85" hidden="false" customHeight="false" outlineLevel="0" collapsed="false">
      <c r="A20" s="18" t="s">
        <v>3522</v>
      </c>
      <c r="B20" s="18" t="s">
        <v>3536</v>
      </c>
      <c r="C20" s="18" t="s">
        <v>3537</v>
      </c>
      <c r="D20" s="18" t="s">
        <v>3538</v>
      </c>
      <c r="E20" s="18" t="s">
        <v>1944</v>
      </c>
      <c r="F20" s="18" t="s">
        <v>103</v>
      </c>
      <c r="G20" s="18" t="s">
        <v>14</v>
      </c>
    </row>
    <row r="21" customFormat="false" ht="15" hidden="false" customHeight="false" outlineLevel="0" collapsed="false">
      <c r="A21" s="17" t="s">
        <v>3522</v>
      </c>
      <c r="B21" s="17" t="s">
        <v>3539</v>
      </c>
      <c r="C21" s="17" t="s">
        <v>3540</v>
      </c>
      <c r="D21" s="17" t="s">
        <v>3541</v>
      </c>
      <c r="E21" s="17" t="s">
        <v>1944</v>
      </c>
      <c r="F21" s="17" t="s">
        <v>103</v>
      </c>
      <c r="G21" s="17" t="s">
        <v>16</v>
      </c>
    </row>
    <row r="22" customFormat="false" ht="23.85" hidden="false" customHeight="false" outlineLevel="0" collapsed="false">
      <c r="A22" s="18" t="s">
        <v>3542</v>
      </c>
      <c r="B22" s="18" t="s">
        <v>3543</v>
      </c>
      <c r="C22" s="18" t="s">
        <v>3544</v>
      </c>
      <c r="D22" s="18" t="s">
        <v>3545</v>
      </c>
      <c r="E22" s="18" t="s">
        <v>1944</v>
      </c>
      <c r="F22" s="18" t="s">
        <v>103</v>
      </c>
      <c r="G22" s="18" t="s">
        <v>14</v>
      </c>
    </row>
    <row r="23" customFormat="false" ht="23.85" hidden="false" customHeight="false" outlineLevel="0" collapsed="false">
      <c r="A23" s="17" t="s">
        <v>3542</v>
      </c>
      <c r="B23" s="17" t="s">
        <v>3546</v>
      </c>
      <c r="C23" s="17" t="s">
        <v>3547</v>
      </c>
      <c r="D23" s="17" t="s">
        <v>3548</v>
      </c>
      <c r="E23" s="17" t="s">
        <v>1944</v>
      </c>
      <c r="F23" s="17" t="s">
        <v>103</v>
      </c>
      <c r="G23" s="17" t="s">
        <v>14</v>
      </c>
    </row>
    <row r="24" customFormat="false" ht="23.85" hidden="false" customHeight="false" outlineLevel="0" collapsed="false">
      <c r="A24" s="18" t="s">
        <v>3542</v>
      </c>
      <c r="B24" s="18" t="s">
        <v>3549</v>
      </c>
      <c r="C24" s="18" t="s">
        <v>3550</v>
      </c>
      <c r="D24" s="18" t="s">
        <v>3551</v>
      </c>
      <c r="E24" s="18" t="s">
        <v>1944</v>
      </c>
      <c r="F24" s="18" t="s">
        <v>103</v>
      </c>
      <c r="G24" s="18" t="s">
        <v>14</v>
      </c>
    </row>
    <row r="25" customFormat="false" ht="23.85" hidden="false" customHeight="false" outlineLevel="0" collapsed="false">
      <c r="A25" s="17" t="s">
        <v>3542</v>
      </c>
      <c r="B25" s="17" t="s">
        <v>3552</v>
      </c>
      <c r="C25" s="17" t="s">
        <v>3553</v>
      </c>
      <c r="D25" s="17" t="s">
        <v>3554</v>
      </c>
      <c r="E25" s="17" t="s">
        <v>1944</v>
      </c>
      <c r="F25" s="17" t="s">
        <v>103</v>
      </c>
      <c r="G25" s="17" t="s">
        <v>14</v>
      </c>
    </row>
    <row r="26" customFormat="false" ht="23.85" hidden="false" customHeight="false" outlineLevel="0" collapsed="false">
      <c r="A26" s="18" t="s">
        <v>3542</v>
      </c>
      <c r="B26" s="18" t="s">
        <v>3555</v>
      </c>
      <c r="C26" s="18" t="s">
        <v>3556</v>
      </c>
      <c r="D26" s="18" t="s">
        <v>3557</v>
      </c>
      <c r="E26" s="18" t="s">
        <v>1944</v>
      </c>
      <c r="F26" s="18" t="s">
        <v>103</v>
      </c>
      <c r="G26" s="18" t="s">
        <v>14</v>
      </c>
    </row>
    <row r="27" customFormat="false" ht="23.85" hidden="false" customHeight="false" outlineLevel="0" collapsed="false">
      <c r="A27" s="17" t="s">
        <v>3542</v>
      </c>
      <c r="B27" s="17" t="s">
        <v>3558</v>
      </c>
      <c r="C27" s="17" t="s">
        <v>3559</v>
      </c>
      <c r="D27" s="17" t="s">
        <v>3560</v>
      </c>
      <c r="E27" s="17" t="s">
        <v>1944</v>
      </c>
      <c r="F27" s="17" t="s">
        <v>103</v>
      </c>
      <c r="G27" s="17" t="s">
        <v>14</v>
      </c>
    </row>
    <row r="28" customFormat="false" ht="23.85" hidden="false" customHeight="false" outlineLevel="0" collapsed="false">
      <c r="A28" s="18" t="s">
        <v>3561</v>
      </c>
      <c r="B28" s="18" t="s">
        <v>1273</v>
      </c>
      <c r="C28" s="18" t="s">
        <v>3562</v>
      </c>
      <c r="D28" s="18" t="s">
        <v>3563</v>
      </c>
      <c r="E28" s="18" t="s">
        <v>1944</v>
      </c>
      <c r="F28" s="18" t="s">
        <v>103</v>
      </c>
      <c r="G28" s="18" t="s">
        <v>14</v>
      </c>
    </row>
    <row r="29" customFormat="false" ht="23.85" hidden="false" customHeight="false" outlineLevel="0" collapsed="false">
      <c r="A29" s="17" t="s">
        <v>3561</v>
      </c>
      <c r="B29" s="17" t="s">
        <v>3564</v>
      </c>
      <c r="C29" s="17" t="s">
        <v>3565</v>
      </c>
      <c r="D29" s="17" t="s">
        <v>3566</v>
      </c>
      <c r="E29" s="17" t="s">
        <v>1944</v>
      </c>
      <c r="F29" s="17" t="s">
        <v>103</v>
      </c>
      <c r="G29" s="17" t="s">
        <v>14</v>
      </c>
    </row>
    <row r="30" customFormat="false" ht="23.85" hidden="false" customHeight="false" outlineLevel="0" collapsed="false">
      <c r="A30" s="18" t="s">
        <v>3561</v>
      </c>
      <c r="B30" s="18" t="s">
        <v>3567</v>
      </c>
      <c r="C30" s="18" t="s">
        <v>3568</v>
      </c>
      <c r="D30" s="18" t="s">
        <v>3569</v>
      </c>
      <c r="E30" s="18" t="s">
        <v>1944</v>
      </c>
      <c r="F30" s="18" t="s">
        <v>103</v>
      </c>
      <c r="G30" s="18" t="s">
        <v>14</v>
      </c>
    </row>
    <row r="31" customFormat="false" ht="23.85" hidden="false" customHeight="false" outlineLevel="0" collapsed="false">
      <c r="A31" s="17" t="s">
        <v>3561</v>
      </c>
      <c r="B31" s="17" t="s">
        <v>3570</v>
      </c>
      <c r="C31" s="17" t="s">
        <v>3571</v>
      </c>
      <c r="D31" s="17" t="s">
        <v>3572</v>
      </c>
      <c r="E31" s="17" t="s">
        <v>1944</v>
      </c>
      <c r="F31" s="17" t="s">
        <v>103</v>
      </c>
      <c r="G31" s="17" t="s">
        <v>14</v>
      </c>
    </row>
    <row r="32" customFormat="false" ht="23.85" hidden="false" customHeight="false" outlineLevel="0" collapsed="false">
      <c r="A32" s="18" t="s">
        <v>3573</v>
      </c>
      <c r="B32" s="18" t="s">
        <v>1280</v>
      </c>
      <c r="C32" s="18" t="s">
        <v>3574</v>
      </c>
      <c r="D32" s="18" t="s">
        <v>3575</v>
      </c>
      <c r="E32" s="18" t="s">
        <v>1944</v>
      </c>
      <c r="F32" s="18" t="s">
        <v>103</v>
      </c>
      <c r="G32" s="18" t="s">
        <v>14</v>
      </c>
    </row>
    <row r="33" customFormat="false" ht="23.85" hidden="false" customHeight="false" outlineLevel="0" collapsed="false">
      <c r="A33" s="17" t="s">
        <v>3573</v>
      </c>
      <c r="B33" s="17" t="s">
        <v>3576</v>
      </c>
      <c r="C33" s="17" t="s">
        <v>3577</v>
      </c>
      <c r="D33" s="17" t="s">
        <v>3578</v>
      </c>
      <c r="E33" s="17" t="s">
        <v>1944</v>
      </c>
      <c r="F33" s="17" t="s">
        <v>103</v>
      </c>
      <c r="G33" s="17" t="s">
        <v>14</v>
      </c>
    </row>
    <row r="34" customFormat="false" ht="23.85" hidden="false" customHeight="false" outlineLevel="0" collapsed="false">
      <c r="A34" s="18" t="s">
        <v>3579</v>
      </c>
      <c r="B34" s="18" t="s">
        <v>3580</v>
      </c>
      <c r="C34" s="18" t="s">
        <v>3581</v>
      </c>
      <c r="D34" s="18" t="s">
        <v>3582</v>
      </c>
      <c r="E34" s="18" t="s">
        <v>1944</v>
      </c>
      <c r="F34" s="18" t="s">
        <v>103</v>
      </c>
      <c r="G34" s="18" t="s">
        <v>14</v>
      </c>
    </row>
    <row r="35" customFormat="false" ht="23.85" hidden="false" customHeight="false" outlineLevel="0" collapsed="false">
      <c r="A35" s="17" t="s">
        <v>3579</v>
      </c>
      <c r="B35" s="17" t="s">
        <v>3583</v>
      </c>
      <c r="C35" s="17" t="s">
        <v>3584</v>
      </c>
      <c r="D35" s="17" t="s">
        <v>3585</v>
      </c>
      <c r="E35" s="17" t="s">
        <v>1944</v>
      </c>
      <c r="F35" s="17" t="s">
        <v>103</v>
      </c>
      <c r="G35" s="17" t="s">
        <v>14</v>
      </c>
    </row>
    <row r="36" customFormat="false" ht="23.85" hidden="false" customHeight="false" outlineLevel="0" collapsed="false">
      <c r="A36" s="18" t="s">
        <v>3586</v>
      </c>
      <c r="B36" s="18" t="s">
        <v>3587</v>
      </c>
      <c r="C36" s="18" t="s">
        <v>3588</v>
      </c>
      <c r="D36" s="18" t="s">
        <v>3589</v>
      </c>
      <c r="E36" s="18" t="s">
        <v>1944</v>
      </c>
      <c r="F36" s="18" t="s">
        <v>103</v>
      </c>
      <c r="G36" s="18" t="s">
        <v>14</v>
      </c>
    </row>
    <row r="37" customFormat="false" ht="23.85" hidden="false" customHeight="false" outlineLevel="0" collapsed="false">
      <c r="A37" s="17" t="s">
        <v>3586</v>
      </c>
      <c r="B37" s="17" t="s">
        <v>3590</v>
      </c>
      <c r="C37" s="17" t="s">
        <v>3591</v>
      </c>
      <c r="D37" s="17" t="s">
        <v>3592</v>
      </c>
      <c r="E37" s="17" t="s">
        <v>1944</v>
      </c>
      <c r="F37" s="17" t="s">
        <v>103</v>
      </c>
      <c r="G37" s="17" t="s">
        <v>14</v>
      </c>
    </row>
    <row r="38" customFormat="false" ht="23.85" hidden="false" customHeight="false" outlineLevel="0" collapsed="false">
      <c r="A38" s="18" t="s">
        <v>3593</v>
      </c>
      <c r="B38" s="18" t="s">
        <v>3594</v>
      </c>
      <c r="C38" s="18" t="s">
        <v>3595</v>
      </c>
      <c r="D38" s="18" t="s">
        <v>3596</v>
      </c>
      <c r="E38" s="18" t="s">
        <v>1944</v>
      </c>
      <c r="F38" s="18" t="s">
        <v>103</v>
      </c>
      <c r="G38" s="18" t="s">
        <v>14</v>
      </c>
    </row>
    <row r="39" customFormat="false" ht="23.85" hidden="false" customHeight="false" outlineLevel="0" collapsed="false">
      <c r="A39" s="17" t="s">
        <v>3593</v>
      </c>
      <c r="B39" s="17" t="s">
        <v>3597</v>
      </c>
      <c r="C39" s="17" t="s">
        <v>3598</v>
      </c>
      <c r="D39" s="17" t="s">
        <v>3599</v>
      </c>
      <c r="E39" s="17" t="s">
        <v>1944</v>
      </c>
      <c r="F39" s="17" t="s">
        <v>103</v>
      </c>
      <c r="G39" s="17" t="s">
        <v>14</v>
      </c>
    </row>
    <row r="40" customFormat="false" ht="23.85" hidden="false" customHeight="false" outlineLevel="0" collapsed="false">
      <c r="A40" s="18" t="s">
        <v>3600</v>
      </c>
      <c r="B40" s="18" t="s">
        <v>3601</v>
      </c>
      <c r="C40" s="18" t="s">
        <v>3602</v>
      </c>
      <c r="D40" s="18" t="s">
        <v>3603</v>
      </c>
      <c r="E40" s="18" t="s">
        <v>1944</v>
      </c>
      <c r="F40" s="18" t="s">
        <v>103</v>
      </c>
      <c r="G40" s="18" t="s">
        <v>14</v>
      </c>
    </row>
    <row r="41" customFormat="false" ht="23.85" hidden="false" customHeight="false" outlineLevel="0" collapsed="false">
      <c r="A41" s="17" t="s">
        <v>3600</v>
      </c>
      <c r="B41" s="17" t="s">
        <v>3604</v>
      </c>
      <c r="C41" s="17" t="s">
        <v>3605</v>
      </c>
      <c r="D41" s="17" t="s">
        <v>3606</v>
      </c>
      <c r="E41" s="17" t="s">
        <v>1944</v>
      </c>
      <c r="F41" s="17" t="s">
        <v>103</v>
      </c>
      <c r="G41" s="17" t="s">
        <v>14</v>
      </c>
    </row>
    <row r="42" customFormat="false" ht="23.85" hidden="false" customHeight="false" outlineLevel="0" collapsed="false">
      <c r="A42" s="18" t="s">
        <v>1295</v>
      </c>
      <c r="B42" s="18" t="s">
        <v>3607</v>
      </c>
      <c r="C42" s="18" t="s">
        <v>3608</v>
      </c>
      <c r="D42" s="18" t="s">
        <v>3609</v>
      </c>
      <c r="E42" s="18" t="s">
        <v>1944</v>
      </c>
      <c r="F42" s="18" t="s">
        <v>103</v>
      </c>
      <c r="G42" s="18" t="s">
        <v>14</v>
      </c>
    </row>
    <row r="43" customFormat="false" ht="15" hidden="false" customHeight="false" outlineLevel="0" collapsed="false">
      <c r="A43" s="17" t="s">
        <v>1295</v>
      </c>
      <c r="B43" s="17" t="s">
        <v>3610</v>
      </c>
      <c r="C43" s="17" t="s">
        <v>3611</v>
      </c>
      <c r="D43" s="17" t="s">
        <v>3612</v>
      </c>
      <c r="E43" s="17" t="s">
        <v>3535</v>
      </c>
      <c r="F43" s="17" t="s">
        <v>103</v>
      </c>
      <c r="G43" s="17" t="s">
        <v>16</v>
      </c>
    </row>
    <row r="44" customFormat="false" ht="23.85" hidden="false" customHeight="false" outlineLevel="0" collapsed="false">
      <c r="A44" s="18" t="s">
        <v>3613</v>
      </c>
      <c r="B44" s="18" t="s">
        <v>3614</v>
      </c>
      <c r="C44" s="18" t="s">
        <v>3615</v>
      </c>
      <c r="D44" s="18" t="s">
        <v>3616</v>
      </c>
      <c r="E44" s="18" t="s">
        <v>1944</v>
      </c>
      <c r="F44" s="18" t="s">
        <v>103</v>
      </c>
      <c r="G44" s="18" t="s">
        <v>14</v>
      </c>
    </row>
    <row r="45" customFormat="false" ht="23.85" hidden="false" customHeight="false" outlineLevel="0" collapsed="false">
      <c r="A45" s="17" t="s">
        <v>3617</v>
      </c>
      <c r="B45" s="17" t="s">
        <v>3618</v>
      </c>
      <c r="C45" s="17" t="s">
        <v>3619</v>
      </c>
      <c r="D45" s="17" t="s">
        <v>3620</v>
      </c>
      <c r="E45" s="17" t="s">
        <v>1944</v>
      </c>
      <c r="F45" s="17" t="s">
        <v>103</v>
      </c>
      <c r="G45" s="17" t="s">
        <v>14</v>
      </c>
    </row>
    <row r="46" customFormat="false" ht="23.85" hidden="false" customHeight="false" outlineLevel="0" collapsed="false">
      <c r="A46" s="18" t="s">
        <v>3617</v>
      </c>
      <c r="B46" s="18" t="s">
        <v>3621</v>
      </c>
      <c r="C46" s="18" t="s">
        <v>3622</v>
      </c>
      <c r="D46" s="18" t="s">
        <v>3623</v>
      </c>
      <c r="E46" s="18" t="s">
        <v>1944</v>
      </c>
      <c r="F46" s="18" t="s">
        <v>103</v>
      </c>
      <c r="G46" s="18" t="s">
        <v>14</v>
      </c>
    </row>
    <row r="47" customFormat="false" ht="23.85" hidden="false" customHeight="false" outlineLevel="0" collapsed="false">
      <c r="A47" s="17" t="s">
        <v>3617</v>
      </c>
      <c r="B47" s="17" t="s">
        <v>3624</v>
      </c>
      <c r="C47" s="17" t="s">
        <v>3625</v>
      </c>
      <c r="D47" s="17" t="s">
        <v>3626</v>
      </c>
      <c r="E47" s="17" t="s">
        <v>1944</v>
      </c>
      <c r="F47" s="17" t="s">
        <v>103</v>
      </c>
      <c r="G47" s="17" t="s">
        <v>14</v>
      </c>
    </row>
    <row r="48" customFormat="false" ht="23.85" hidden="false" customHeight="false" outlineLevel="0" collapsed="false">
      <c r="A48" s="18" t="s">
        <v>3627</v>
      </c>
      <c r="B48" s="18" t="s">
        <v>3628</v>
      </c>
      <c r="C48" s="18" t="s">
        <v>3629</v>
      </c>
      <c r="D48" s="18" t="s">
        <v>3630</v>
      </c>
      <c r="E48" s="18" t="s">
        <v>3535</v>
      </c>
      <c r="F48" s="18" t="s">
        <v>103</v>
      </c>
      <c r="G48" s="18" t="s">
        <v>14</v>
      </c>
    </row>
    <row r="49" customFormat="false" ht="23.85" hidden="false" customHeight="false" outlineLevel="0" collapsed="false">
      <c r="A49" s="17" t="s">
        <v>3627</v>
      </c>
      <c r="B49" s="17" t="s">
        <v>3631</v>
      </c>
      <c r="C49" s="17" t="s">
        <v>3632</v>
      </c>
      <c r="D49" s="17" t="s">
        <v>3633</v>
      </c>
      <c r="E49" s="17" t="s">
        <v>3535</v>
      </c>
      <c r="F49" s="17" t="s">
        <v>103</v>
      </c>
      <c r="G49" s="17" t="s">
        <v>14</v>
      </c>
    </row>
    <row r="50" customFormat="false" ht="23.85" hidden="false" customHeight="false" outlineLevel="0" collapsed="false">
      <c r="A50" s="18" t="s">
        <v>3627</v>
      </c>
      <c r="B50" s="18" t="s">
        <v>3634</v>
      </c>
      <c r="C50" s="18" t="s">
        <v>3635</v>
      </c>
      <c r="D50" s="18" t="s">
        <v>3636</v>
      </c>
      <c r="E50" s="18" t="s">
        <v>3535</v>
      </c>
      <c r="F50" s="18" t="s">
        <v>103</v>
      </c>
      <c r="G50" s="18" t="s">
        <v>14</v>
      </c>
    </row>
    <row r="51" customFormat="false" ht="15" hidden="false" customHeight="false" outlineLevel="0" collapsed="false">
      <c r="A51" s="17" t="s">
        <v>3637</v>
      </c>
      <c r="B51" s="17" t="s">
        <v>3638</v>
      </c>
      <c r="C51" s="17" t="s">
        <v>3639</v>
      </c>
      <c r="D51" s="17" t="s">
        <v>3640</v>
      </c>
      <c r="E51" s="17" t="s">
        <v>2030</v>
      </c>
      <c r="F51" s="17" t="s">
        <v>103</v>
      </c>
      <c r="G51" s="17" t="s">
        <v>16</v>
      </c>
    </row>
  </sheetData>
  <autoFilter ref="A4:G51"/>
  <mergeCells count="2">
    <mergeCell ref="A1:G1"/>
    <mergeCell ref="A2:G2"/>
  </mergeCells>
  <conditionalFormatting sqref="F5:F51">
    <cfRule type="expression" priority="2" aboveAverage="0" equalAverage="0" bottom="0" percent="0" rank="0" text="" dxfId="16">
      <formula>EXACT($F5,"NOT STARTED")</formula>
    </cfRule>
    <cfRule type="expression" priority="3" aboveAverage="0" equalAverage="0" bottom="0" percent="0" rank="0" text="" dxfId="17">
      <formula>EXACT($F5,"IN PROGRESS")</formula>
    </cfRule>
    <cfRule type="expression" priority="4" aboveAverage="0" equalAverage="0" bottom="0" percent="0" rank="0" text="" dxfId="18">
      <formula>EXACT($F5,"BLOCKED")</formula>
    </cfRule>
    <cfRule type="expression" priority="5" aboveAverage="0" equalAverage="0" bottom="0" percent="0" rank="0" text="" dxfId="19">
      <formula>EXACT($F5,"REVIEW")</formula>
    </cfRule>
    <cfRule type="expression" priority="6" aboveAverage="0" equalAverage="0" bottom="0" percent="0" rank="0" text="" dxfId="20">
      <formula>EXACT($F5,"DONE")</formula>
    </cfRule>
    <cfRule type="expression" priority="7" aboveAverage="0" equalAverage="0" bottom="0" percent="0" rank="0" text="" dxfId="21">
      <formula>EXACT($F5,"DEFERRED")</formula>
    </cfRule>
  </conditionalFormatting>
  <conditionalFormatting sqref="G5:G51">
    <cfRule type="expression" priority="8" aboveAverage="0" equalAverage="0" bottom="0" percent="0" rank="0" text="" dxfId="20">
      <formula>EXACT($G5,"OBSERVED FROM RESEARCH")</formula>
    </cfRule>
    <cfRule type="expression" priority="9" aboveAverage="0" equalAverage="0" bottom="0" percent="0" rank="0" text="" dxfId="19">
      <formula>EXACT($G5,"PROPOSED")</formula>
    </cfRule>
    <cfRule type="expression" priority="10" aboveAverage="0" equalAverage="0" bottom="0" percent="0" rank="0" text="" dxfId="23">
      <formula>EXACT($G5,"DECISION REQUIRED")</formula>
    </cfRule>
    <cfRule type="expression" priority="11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51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7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3641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3642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3264</v>
      </c>
      <c r="B4" s="16" t="s">
        <v>3643</v>
      </c>
      <c r="C4" s="16" t="s">
        <v>3483</v>
      </c>
      <c r="D4" s="16" t="s">
        <v>3267</v>
      </c>
      <c r="E4" s="16" t="s">
        <v>121</v>
      </c>
      <c r="F4" s="16" t="s">
        <v>122</v>
      </c>
      <c r="G4" s="16" t="s">
        <v>128</v>
      </c>
    </row>
    <row r="5" customFormat="false" ht="23.85" hidden="false" customHeight="false" outlineLevel="0" collapsed="false">
      <c r="A5" s="17" t="s">
        <v>1984</v>
      </c>
      <c r="B5" s="17" t="s">
        <v>3644</v>
      </c>
      <c r="C5" s="17" t="s">
        <v>3645</v>
      </c>
      <c r="D5" s="17" t="s">
        <v>3646</v>
      </c>
      <c r="E5" s="17" t="s">
        <v>136</v>
      </c>
      <c r="F5" s="17" t="s">
        <v>103</v>
      </c>
      <c r="G5" s="17" t="s">
        <v>14</v>
      </c>
    </row>
    <row r="6" customFormat="false" ht="15" hidden="false" customHeight="false" outlineLevel="0" collapsed="false">
      <c r="A6" s="18" t="s">
        <v>1984</v>
      </c>
      <c r="B6" s="18" t="s">
        <v>3647</v>
      </c>
      <c r="C6" s="18" t="s">
        <v>3648</v>
      </c>
      <c r="D6" s="18" t="s">
        <v>3649</v>
      </c>
      <c r="E6" s="18" t="s">
        <v>136</v>
      </c>
      <c r="F6" s="18" t="s">
        <v>103</v>
      </c>
      <c r="G6" s="18" t="s">
        <v>16</v>
      </c>
    </row>
    <row r="7" customFormat="false" ht="23.85" hidden="false" customHeight="false" outlineLevel="0" collapsed="false">
      <c r="A7" s="17" t="s">
        <v>1984</v>
      </c>
      <c r="B7" s="17" t="s">
        <v>3650</v>
      </c>
      <c r="C7" s="17" t="s">
        <v>3651</v>
      </c>
      <c r="D7" s="17" t="s">
        <v>3652</v>
      </c>
      <c r="E7" s="17" t="s">
        <v>136</v>
      </c>
      <c r="F7" s="17" t="s">
        <v>103</v>
      </c>
      <c r="G7" s="17" t="s">
        <v>14</v>
      </c>
    </row>
    <row r="8" customFormat="false" ht="23.85" hidden="false" customHeight="false" outlineLevel="0" collapsed="false">
      <c r="A8" s="18" t="s">
        <v>1984</v>
      </c>
      <c r="B8" s="18" t="s">
        <v>3653</v>
      </c>
      <c r="C8" s="18" t="s">
        <v>3654</v>
      </c>
      <c r="D8" s="18" t="s">
        <v>3655</v>
      </c>
      <c r="E8" s="18" t="s">
        <v>136</v>
      </c>
      <c r="F8" s="18" t="s">
        <v>103</v>
      </c>
      <c r="G8" s="18" t="s">
        <v>14</v>
      </c>
    </row>
    <row r="9" customFormat="false" ht="23.85" hidden="false" customHeight="false" outlineLevel="0" collapsed="false">
      <c r="A9" s="17" t="s">
        <v>1984</v>
      </c>
      <c r="B9" s="17" t="s">
        <v>3656</v>
      </c>
      <c r="C9" s="17" t="s">
        <v>3657</v>
      </c>
      <c r="D9" s="17" t="s">
        <v>3658</v>
      </c>
      <c r="E9" s="17" t="s">
        <v>136</v>
      </c>
      <c r="F9" s="17" t="s">
        <v>103</v>
      </c>
      <c r="G9" s="17" t="s">
        <v>14</v>
      </c>
    </row>
    <row r="10" customFormat="false" ht="23.85" hidden="false" customHeight="false" outlineLevel="0" collapsed="false">
      <c r="A10" s="18" t="s">
        <v>3659</v>
      </c>
      <c r="B10" s="18" t="s">
        <v>3660</v>
      </c>
      <c r="C10" s="18" t="s">
        <v>3661</v>
      </c>
      <c r="D10" s="18" t="s">
        <v>3662</v>
      </c>
      <c r="E10" s="18" t="s">
        <v>136</v>
      </c>
      <c r="F10" s="18" t="s">
        <v>103</v>
      </c>
      <c r="G10" s="18" t="s">
        <v>14</v>
      </c>
    </row>
    <row r="11" customFormat="false" ht="23.85" hidden="false" customHeight="false" outlineLevel="0" collapsed="false">
      <c r="A11" s="17" t="s">
        <v>3659</v>
      </c>
      <c r="B11" s="17" t="s">
        <v>3663</v>
      </c>
      <c r="C11" s="17" t="s">
        <v>3664</v>
      </c>
      <c r="D11" s="17" t="s">
        <v>3665</v>
      </c>
      <c r="E11" s="17" t="s">
        <v>136</v>
      </c>
      <c r="F11" s="17" t="s">
        <v>103</v>
      </c>
      <c r="G11" s="17" t="s">
        <v>14</v>
      </c>
    </row>
    <row r="12" customFormat="false" ht="23.85" hidden="false" customHeight="false" outlineLevel="0" collapsed="false">
      <c r="A12" s="18" t="s">
        <v>3659</v>
      </c>
      <c r="B12" s="18" t="s">
        <v>3666</v>
      </c>
      <c r="C12" s="18" t="s">
        <v>3667</v>
      </c>
      <c r="D12" s="18" t="s">
        <v>3668</v>
      </c>
      <c r="E12" s="18" t="s">
        <v>172</v>
      </c>
      <c r="F12" s="18" t="s">
        <v>103</v>
      </c>
      <c r="G12" s="18" t="s">
        <v>14</v>
      </c>
    </row>
    <row r="13" customFormat="false" ht="15" hidden="false" customHeight="false" outlineLevel="0" collapsed="false">
      <c r="A13" s="17" t="s">
        <v>3659</v>
      </c>
      <c r="B13" s="17" t="s">
        <v>3669</v>
      </c>
      <c r="C13" s="17" t="s">
        <v>3670</v>
      </c>
      <c r="D13" s="17" t="s">
        <v>3671</v>
      </c>
      <c r="E13" s="17" t="s">
        <v>172</v>
      </c>
      <c r="F13" s="17" t="s">
        <v>103</v>
      </c>
      <c r="G13" s="17" t="s">
        <v>16</v>
      </c>
    </row>
    <row r="14" customFormat="false" ht="23.85" hidden="false" customHeight="false" outlineLevel="0" collapsed="false">
      <c r="A14" s="18" t="s">
        <v>3672</v>
      </c>
      <c r="B14" s="18" t="s">
        <v>3673</v>
      </c>
      <c r="C14" s="18" t="s">
        <v>3674</v>
      </c>
      <c r="D14" s="18" t="s">
        <v>3675</v>
      </c>
      <c r="E14" s="18" t="s">
        <v>136</v>
      </c>
      <c r="F14" s="18" t="s">
        <v>103</v>
      </c>
      <c r="G14" s="18" t="s">
        <v>14</v>
      </c>
    </row>
    <row r="15" customFormat="false" ht="23.85" hidden="false" customHeight="false" outlineLevel="0" collapsed="false">
      <c r="A15" s="17" t="s">
        <v>3672</v>
      </c>
      <c r="B15" s="17" t="s">
        <v>3676</v>
      </c>
      <c r="C15" s="17" t="s">
        <v>3677</v>
      </c>
      <c r="D15" s="17" t="s">
        <v>3678</v>
      </c>
      <c r="E15" s="17" t="s">
        <v>136</v>
      </c>
      <c r="F15" s="17" t="s">
        <v>103</v>
      </c>
      <c r="G15" s="17" t="s">
        <v>14</v>
      </c>
    </row>
    <row r="16" customFormat="false" ht="15" hidden="false" customHeight="false" outlineLevel="0" collapsed="false">
      <c r="A16" s="18" t="s">
        <v>3672</v>
      </c>
      <c r="B16" s="18" t="s">
        <v>3679</v>
      </c>
      <c r="C16" s="18" t="s">
        <v>3680</v>
      </c>
      <c r="D16" s="18" t="s">
        <v>3681</v>
      </c>
      <c r="E16" s="18" t="s">
        <v>136</v>
      </c>
      <c r="F16" s="18" t="s">
        <v>103</v>
      </c>
      <c r="G16" s="18" t="s">
        <v>16</v>
      </c>
    </row>
    <row r="17" customFormat="false" ht="23.85" hidden="false" customHeight="false" outlineLevel="0" collapsed="false">
      <c r="A17" s="17" t="s">
        <v>3672</v>
      </c>
      <c r="B17" s="17" t="s">
        <v>3682</v>
      </c>
      <c r="C17" s="17" t="s">
        <v>3683</v>
      </c>
      <c r="D17" s="17" t="s">
        <v>3684</v>
      </c>
      <c r="E17" s="17" t="s">
        <v>136</v>
      </c>
      <c r="F17" s="17" t="s">
        <v>103</v>
      </c>
      <c r="G17" s="17" t="s">
        <v>14</v>
      </c>
    </row>
    <row r="18" customFormat="false" ht="23.85" hidden="false" customHeight="false" outlineLevel="0" collapsed="false">
      <c r="A18" s="18" t="s">
        <v>3685</v>
      </c>
      <c r="B18" s="18" t="s">
        <v>3686</v>
      </c>
      <c r="C18" s="18" t="s">
        <v>3687</v>
      </c>
      <c r="D18" s="18" t="s">
        <v>3688</v>
      </c>
      <c r="E18" s="18" t="s">
        <v>136</v>
      </c>
      <c r="F18" s="18" t="s">
        <v>103</v>
      </c>
      <c r="G18" s="18" t="s">
        <v>14</v>
      </c>
    </row>
    <row r="19" customFormat="false" ht="15" hidden="false" customHeight="false" outlineLevel="0" collapsed="false">
      <c r="A19" s="17" t="s">
        <v>3685</v>
      </c>
      <c r="B19" s="17" t="s">
        <v>3689</v>
      </c>
      <c r="C19" s="17" t="s">
        <v>3690</v>
      </c>
      <c r="D19" s="17" t="s">
        <v>3691</v>
      </c>
      <c r="E19" s="17" t="s">
        <v>172</v>
      </c>
      <c r="F19" s="17" t="s">
        <v>103</v>
      </c>
      <c r="G19" s="17" t="s">
        <v>16</v>
      </c>
    </row>
    <row r="20" customFormat="false" ht="15" hidden="false" customHeight="false" outlineLevel="0" collapsed="false">
      <c r="A20" s="18" t="s">
        <v>3685</v>
      </c>
      <c r="B20" s="18" t="s">
        <v>3692</v>
      </c>
      <c r="C20" s="18" t="s">
        <v>3693</v>
      </c>
      <c r="D20" s="18" t="s">
        <v>3694</v>
      </c>
      <c r="E20" s="18" t="s">
        <v>172</v>
      </c>
      <c r="F20" s="18" t="s">
        <v>103</v>
      </c>
      <c r="G20" s="18" t="s">
        <v>16</v>
      </c>
    </row>
    <row r="21" customFormat="false" ht="23.85" hidden="false" customHeight="false" outlineLevel="0" collapsed="false">
      <c r="A21" s="17" t="s">
        <v>3695</v>
      </c>
      <c r="B21" s="17" t="s">
        <v>3696</v>
      </c>
      <c r="C21" s="17" t="s">
        <v>3697</v>
      </c>
      <c r="D21" s="17" t="s">
        <v>3698</v>
      </c>
      <c r="E21" s="17" t="s">
        <v>136</v>
      </c>
      <c r="F21" s="17" t="s">
        <v>103</v>
      </c>
      <c r="G21" s="17" t="s">
        <v>14</v>
      </c>
    </row>
    <row r="22" customFormat="false" ht="23.85" hidden="false" customHeight="false" outlineLevel="0" collapsed="false">
      <c r="A22" s="18" t="s">
        <v>3695</v>
      </c>
      <c r="B22" s="18" t="s">
        <v>3699</v>
      </c>
      <c r="C22" s="18" t="s">
        <v>3700</v>
      </c>
      <c r="D22" s="18" t="s">
        <v>3701</v>
      </c>
      <c r="E22" s="18" t="s">
        <v>136</v>
      </c>
      <c r="F22" s="18" t="s">
        <v>103</v>
      </c>
      <c r="G22" s="18" t="s">
        <v>14</v>
      </c>
    </row>
    <row r="23" customFormat="false" ht="23.85" hidden="false" customHeight="false" outlineLevel="0" collapsed="false">
      <c r="A23" s="17" t="s">
        <v>3695</v>
      </c>
      <c r="B23" s="17" t="s">
        <v>3702</v>
      </c>
      <c r="C23" s="17" t="s">
        <v>3703</v>
      </c>
      <c r="D23" s="17" t="s">
        <v>3704</v>
      </c>
      <c r="E23" s="17" t="s">
        <v>136</v>
      </c>
      <c r="F23" s="17" t="s">
        <v>103</v>
      </c>
      <c r="G23" s="17" t="s">
        <v>14</v>
      </c>
    </row>
    <row r="24" customFormat="false" ht="15" hidden="false" customHeight="false" outlineLevel="0" collapsed="false">
      <c r="A24" s="18" t="s">
        <v>3695</v>
      </c>
      <c r="B24" s="18" t="s">
        <v>3705</v>
      </c>
      <c r="C24" s="18" t="s">
        <v>3706</v>
      </c>
      <c r="D24" s="18" t="s">
        <v>3707</v>
      </c>
      <c r="E24" s="18" t="s">
        <v>172</v>
      </c>
      <c r="F24" s="18" t="s">
        <v>103</v>
      </c>
      <c r="G24" s="18" t="s">
        <v>16</v>
      </c>
    </row>
    <row r="25" customFormat="false" ht="23.85" hidden="false" customHeight="false" outlineLevel="0" collapsed="false">
      <c r="A25" s="17" t="s">
        <v>3695</v>
      </c>
      <c r="B25" s="17" t="s">
        <v>3708</v>
      </c>
      <c r="C25" s="17" t="s">
        <v>3709</v>
      </c>
      <c r="D25" s="17" t="s">
        <v>755</v>
      </c>
      <c r="E25" s="17" t="s">
        <v>172</v>
      </c>
      <c r="F25" s="17" t="s">
        <v>103</v>
      </c>
      <c r="G25" s="17" t="s">
        <v>14</v>
      </c>
    </row>
    <row r="26" customFormat="false" ht="23.85" hidden="false" customHeight="false" outlineLevel="0" collapsed="false">
      <c r="A26" s="18" t="s">
        <v>1448</v>
      </c>
      <c r="B26" s="18" t="s">
        <v>3710</v>
      </c>
      <c r="C26" s="18" t="s">
        <v>3711</v>
      </c>
      <c r="D26" s="18" t="s">
        <v>3712</v>
      </c>
      <c r="E26" s="18" t="s">
        <v>136</v>
      </c>
      <c r="F26" s="18" t="s">
        <v>103</v>
      </c>
      <c r="G26" s="18" t="s">
        <v>14</v>
      </c>
    </row>
    <row r="27" customFormat="false" ht="23.85" hidden="false" customHeight="false" outlineLevel="0" collapsed="false">
      <c r="A27" s="17" t="s">
        <v>1448</v>
      </c>
      <c r="B27" s="17" t="s">
        <v>3713</v>
      </c>
      <c r="C27" s="17" t="s">
        <v>3714</v>
      </c>
      <c r="D27" s="17" t="s">
        <v>3715</v>
      </c>
      <c r="E27" s="17" t="s">
        <v>136</v>
      </c>
      <c r="F27" s="17" t="s">
        <v>103</v>
      </c>
      <c r="G27" s="17" t="s">
        <v>14</v>
      </c>
    </row>
    <row r="28" customFormat="false" ht="23.85" hidden="false" customHeight="false" outlineLevel="0" collapsed="false">
      <c r="A28" s="18" t="s">
        <v>1448</v>
      </c>
      <c r="B28" s="18" t="s">
        <v>3716</v>
      </c>
      <c r="C28" s="18" t="s">
        <v>3717</v>
      </c>
      <c r="D28" s="18" t="s">
        <v>3718</v>
      </c>
      <c r="E28" s="18" t="s">
        <v>172</v>
      </c>
      <c r="F28" s="18" t="s">
        <v>103</v>
      </c>
      <c r="G28" s="18" t="s">
        <v>14</v>
      </c>
    </row>
    <row r="29" customFormat="false" ht="15" hidden="false" customHeight="false" outlineLevel="0" collapsed="false">
      <c r="A29" s="17" t="s">
        <v>3719</v>
      </c>
      <c r="B29" s="17" t="s">
        <v>3720</v>
      </c>
      <c r="C29" s="17" t="s">
        <v>3721</v>
      </c>
      <c r="D29" s="17" t="s">
        <v>3722</v>
      </c>
      <c r="E29" s="17" t="s">
        <v>136</v>
      </c>
      <c r="F29" s="17" t="s">
        <v>103</v>
      </c>
      <c r="G29" s="17" t="s">
        <v>16</v>
      </c>
    </row>
    <row r="30" customFormat="false" ht="15" hidden="false" customHeight="false" outlineLevel="0" collapsed="false">
      <c r="A30" s="18" t="s">
        <v>3719</v>
      </c>
      <c r="B30" s="18" t="s">
        <v>3723</v>
      </c>
      <c r="C30" s="18" t="s">
        <v>3724</v>
      </c>
      <c r="D30" s="18" t="s">
        <v>3725</v>
      </c>
      <c r="E30" s="18" t="s">
        <v>172</v>
      </c>
      <c r="F30" s="18" t="s">
        <v>103</v>
      </c>
      <c r="G30" s="18" t="s">
        <v>16</v>
      </c>
    </row>
    <row r="31" customFormat="false" ht="15" hidden="false" customHeight="false" outlineLevel="0" collapsed="false">
      <c r="A31" s="17" t="s">
        <v>3719</v>
      </c>
      <c r="B31" s="17" t="s">
        <v>3726</v>
      </c>
      <c r="C31" s="17" t="s">
        <v>3727</v>
      </c>
      <c r="D31" s="17" t="s">
        <v>3728</v>
      </c>
      <c r="E31" s="17" t="s">
        <v>172</v>
      </c>
      <c r="F31" s="17" t="s">
        <v>103</v>
      </c>
      <c r="G31" s="17" t="s">
        <v>16</v>
      </c>
    </row>
    <row r="32" customFormat="false" ht="23.85" hidden="false" customHeight="false" outlineLevel="0" collapsed="false">
      <c r="A32" s="18" t="s">
        <v>3729</v>
      </c>
      <c r="B32" s="18" t="s">
        <v>1457</v>
      </c>
      <c r="C32" s="18" t="s">
        <v>3730</v>
      </c>
      <c r="D32" s="18" t="s">
        <v>3731</v>
      </c>
      <c r="E32" s="18" t="s">
        <v>136</v>
      </c>
      <c r="F32" s="18" t="s">
        <v>103</v>
      </c>
      <c r="G32" s="18" t="s">
        <v>14</v>
      </c>
    </row>
    <row r="33" customFormat="false" ht="23.85" hidden="false" customHeight="false" outlineLevel="0" collapsed="false">
      <c r="A33" s="17" t="s">
        <v>3729</v>
      </c>
      <c r="B33" s="17" t="s">
        <v>3732</v>
      </c>
      <c r="C33" s="17" t="s">
        <v>3733</v>
      </c>
      <c r="D33" s="17" t="s">
        <v>3734</v>
      </c>
      <c r="E33" s="17" t="s">
        <v>172</v>
      </c>
      <c r="F33" s="17" t="s">
        <v>103</v>
      </c>
      <c r="G33" s="17" t="s">
        <v>14</v>
      </c>
    </row>
    <row r="34" customFormat="false" ht="15" hidden="false" customHeight="false" outlineLevel="0" collapsed="false">
      <c r="A34" s="18" t="s">
        <v>3729</v>
      </c>
      <c r="B34" s="18" t="s">
        <v>3735</v>
      </c>
      <c r="C34" s="18" t="s">
        <v>3736</v>
      </c>
      <c r="D34" s="18" t="s">
        <v>3737</v>
      </c>
      <c r="E34" s="18" t="s">
        <v>172</v>
      </c>
      <c r="F34" s="18" t="s">
        <v>103</v>
      </c>
      <c r="G34" s="18" t="s">
        <v>16</v>
      </c>
    </row>
    <row r="35" customFormat="false" ht="23.85" hidden="false" customHeight="false" outlineLevel="0" collapsed="false">
      <c r="A35" s="17" t="s">
        <v>3738</v>
      </c>
      <c r="B35" s="17" t="s">
        <v>3739</v>
      </c>
      <c r="C35" s="17" t="s">
        <v>3740</v>
      </c>
      <c r="D35" s="17" t="s">
        <v>3741</v>
      </c>
      <c r="E35" s="17" t="s">
        <v>172</v>
      </c>
      <c r="F35" s="17" t="s">
        <v>103</v>
      </c>
      <c r="G35" s="17" t="s">
        <v>14</v>
      </c>
    </row>
    <row r="36" customFormat="false" ht="15" hidden="false" customHeight="false" outlineLevel="0" collapsed="false">
      <c r="A36" s="18" t="s">
        <v>3738</v>
      </c>
      <c r="B36" s="18" t="s">
        <v>3742</v>
      </c>
      <c r="C36" s="18" t="s">
        <v>3743</v>
      </c>
      <c r="D36" s="18" t="s">
        <v>3744</v>
      </c>
      <c r="E36" s="18" t="s">
        <v>172</v>
      </c>
      <c r="F36" s="18" t="s">
        <v>103</v>
      </c>
      <c r="G36" s="18" t="s">
        <v>16</v>
      </c>
    </row>
    <row r="37" customFormat="false" ht="23.85" hidden="false" customHeight="false" outlineLevel="0" collapsed="false">
      <c r="A37" s="17" t="s">
        <v>3745</v>
      </c>
      <c r="B37" s="17" t="s">
        <v>1464</v>
      </c>
      <c r="C37" s="17" t="s">
        <v>3746</v>
      </c>
      <c r="D37" s="17" t="s">
        <v>3747</v>
      </c>
      <c r="E37" s="17" t="s">
        <v>136</v>
      </c>
      <c r="F37" s="17" t="s">
        <v>103</v>
      </c>
      <c r="G37" s="17" t="s">
        <v>14</v>
      </c>
    </row>
    <row r="38" customFormat="false" ht="15" hidden="false" customHeight="false" outlineLevel="0" collapsed="false">
      <c r="A38" s="18" t="s">
        <v>3745</v>
      </c>
      <c r="B38" s="18" t="s">
        <v>3748</v>
      </c>
      <c r="C38" s="18" t="s">
        <v>3749</v>
      </c>
      <c r="D38" s="18" t="s">
        <v>3750</v>
      </c>
      <c r="E38" s="18" t="s">
        <v>136</v>
      </c>
      <c r="F38" s="18" t="s">
        <v>103</v>
      </c>
      <c r="G38" s="18" t="s">
        <v>16</v>
      </c>
    </row>
    <row r="39" customFormat="false" ht="23.85" hidden="false" customHeight="false" outlineLevel="0" collapsed="false">
      <c r="A39" s="17" t="s">
        <v>3751</v>
      </c>
      <c r="B39" s="17" t="s">
        <v>3752</v>
      </c>
      <c r="C39" s="17" t="s">
        <v>3753</v>
      </c>
      <c r="D39" s="17" t="s">
        <v>1481</v>
      </c>
      <c r="E39" s="17" t="s">
        <v>136</v>
      </c>
      <c r="F39" s="17" t="s">
        <v>103</v>
      </c>
      <c r="G39" s="17" t="s">
        <v>14</v>
      </c>
    </row>
    <row r="40" customFormat="false" ht="23.85" hidden="false" customHeight="false" outlineLevel="0" collapsed="false">
      <c r="A40" s="18" t="s">
        <v>3751</v>
      </c>
      <c r="B40" s="18" t="s">
        <v>3754</v>
      </c>
      <c r="C40" s="18" t="s">
        <v>3755</v>
      </c>
      <c r="D40" s="18" t="s">
        <v>3756</v>
      </c>
      <c r="E40" s="18" t="s">
        <v>136</v>
      </c>
      <c r="F40" s="18" t="s">
        <v>103</v>
      </c>
      <c r="G40" s="18" t="s">
        <v>14</v>
      </c>
    </row>
    <row r="41" customFormat="false" ht="15" hidden="false" customHeight="false" outlineLevel="0" collapsed="false">
      <c r="A41" s="17" t="s">
        <v>3751</v>
      </c>
      <c r="B41" s="17" t="s">
        <v>3757</v>
      </c>
      <c r="C41" s="17" t="s">
        <v>3758</v>
      </c>
      <c r="D41" s="17" t="s">
        <v>3759</v>
      </c>
      <c r="E41" s="17" t="s">
        <v>172</v>
      </c>
      <c r="F41" s="17" t="s">
        <v>103</v>
      </c>
      <c r="G41" s="17" t="s">
        <v>16</v>
      </c>
    </row>
    <row r="42" customFormat="false" ht="23.85" hidden="false" customHeight="false" outlineLevel="0" collapsed="false">
      <c r="A42" s="18" t="s">
        <v>3760</v>
      </c>
      <c r="B42" s="18" t="s">
        <v>3761</v>
      </c>
      <c r="C42" s="18" t="s">
        <v>3762</v>
      </c>
      <c r="D42" s="18" t="s">
        <v>3763</v>
      </c>
      <c r="E42" s="18" t="s">
        <v>136</v>
      </c>
      <c r="F42" s="18" t="s">
        <v>103</v>
      </c>
      <c r="G42" s="18" t="s">
        <v>14</v>
      </c>
    </row>
    <row r="43" customFormat="false" ht="23.85" hidden="false" customHeight="false" outlineLevel="0" collapsed="false">
      <c r="A43" s="17" t="s">
        <v>3760</v>
      </c>
      <c r="B43" s="17" t="s">
        <v>1470</v>
      </c>
      <c r="C43" s="17" t="s">
        <v>3764</v>
      </c>
      <c r="D43" s="17" t="s">
        <v>3765</v>
      </c>
      <c r="E43" s="17" t="s">
        <v>172</v>
      </c>
      <c r="F43" s="17" t="s">
        <v>103</v>
      </c>
      <c r="G43" s="17" t="s">
        <v>14</v>
      </c>
    </row>
    <row r="44" customFormat="false" ht="23.85" hidden="false" customHeight="false" outlineLevel="0" collapsed="false">
      <c r="A44" s="18" t="s">
        <v>3766</v>
      </c>
      <c r="B44" s="18" t="s">
        <v>3767</v>
      </c>
      <c r="C44" s="18" t="s">
        <v>3768</v>
      </c>
      <c r="D44" s="18" t="s">
        <v>2016</v>
      </c>
      <c r="E44" s="18" t="s">
        <v>136</v>
      </c>
      <c r="F44" s="18" t="s">
        <v>103</v>
      </c>
      <c r="G44" s="18" t="s">
        <v>14</v>
      </c>
    </row>
    <row r="45" customFormat="false" ht="23.85" hidden="false" customHeight="false" outlineLevel="0" collapsed="false">
      <c r="A45" s="17" t="s">
        <v>3766</v>
      </c>
      <c r="B45" s="17" t="s">
        <v>3769</v>
      </c>
      <c r="C45" s="17" t="s">
        <v>3770</v>
      </c>
      <c r="D45" s="17" t="s">
        <v>3771</v>
      </c>
      <c r="E45" s="17" t="s">
        <v>136</v>
      </c>
      <c r="F45" s="17" t="s">
        <v>103</v>
      </c>
      <c r="G45" s="17" t="s">
        <v>14</v>
      </c>
    </row>
    <row r="46" customFormat="false" ht="15" hidden="false" customHeight="false" outlineLevel="0" collapsed="false">
      <c r="A46" s="18" t="s">
        <v>3766</v>
      </c>
      <c r="B46" s="18" t="s">
        <v>3772</v>
      </c>
      <c r="C46" s="18" t="s">
        <v>3773</v>
      </c>
      <c r="D46" s="18" t="s">
        <v>3774</v>
      </c>
      <c r="E46" s="18" t="s">
        <v>172</v>
      </c>
      <c r="F46" s="18" t="s">
        <v>103</v>
      </c>
      <c r="G46" s="18" t="s">
        <v>16</v>
      </c>
    </row>
    <row r="47" customFormat="false" ht="23.85" hidden="false" customHeight="false" outlineLevel="0" collapsed="false">
      <c r="A47" s="17" t="s">
        <v>3775</v>
      </c>
      <c r="B47" s="17" t="s">
        <v>3776</v>
      </c>
      <c r="C47" s="17" t="s">
        <v>3777</v>
      </c>
      <c r="D47" s="17" t="s">
        <v>3778</v>
      </c>
      <c r="E47" s="17" t="s">
        <v>136</v>
      </c>
      <c r="F47" s="17" t="s">
        <v>103</v>
      </c>
      <c r="G47" s="17" t="s">
        <v>14</v>
      </c>
    </row>
    <row r="48" customFormat="false" ht="15" hidden="false" customHeight="false" outlineLevel="0" collapsed="false">
      <c r="A48" s="18" t="s">
        <v>3775</v>
      </c>
      <c r="B48" s="18" t="s">
        <v>3779</v>
      </c>
      <c r="C48" s="18" t="s">
        <v>3780</v>
      </c>
      <c r="D48" s="18" t="s">
        <v>3781</v>
      </c>
      <c r="E48" s="18" t="s">
        <v>172</v>
      </c>
      <c r="F48" s="18" t="s">
        <v>103</v>
      </c>
      <c r="G48" s="18" t="s">
        <v>16</v>
      </c>
    </row>
    <row r="49" customFormat="false" ht="15" hidden="false" customHeight="false" outlineLevel="0" collapsed="false">
      <c r="A49" s="17" t="s">
        <v>3775</v>
      </c>
      <c r="B49" s="17" t="s">
        <v>3782</v>
      </c>
      <c r="C49" s="17" t="s">
        <v>3783</v>
      </c>
      <c r="D49" s="17" t="s">
        <v>3784</v>
      </c>
      <c r="E49" s="17" t="s">
        <v>172</v>
      </c>
      <c r="F49" s="17" t="s">
        <v>103</v>
      </c>
      <c r="G49" s="17" t="s">
        <v>16</v>
      </c>
    </row>
    <row r="50" customFormat="false" ht="23.85" hidden="false" customHeight="false" outlineLevel="0" collapsed="false">
      <c r="A50" s="18" t="s">
        <v>3785</v>
      </c>
      <c r="B50" s="18" t="s">
        <v>3786</v>
      </c>
      <c r="C50" s="18" t="s">
        <v>3787</v>
      </c>
      <c r="D50" s="18" t="s">
        <v>3788</v>
      </c>
      <c r="E50" s="18" t="s">
        <v>136</v>
      </c>
      <c r="F50" s="18" t="s">
        <v>103</v>
      </c>
      <c r="G50" s="18" t="s">
        <v>14</v>
      </c>
    </row>
    <row r="51" customFormat="false" ht="23.85" hidden="false" customHeight="false" outlineLevel="0" collapsed="false">
      <c r="A51" s="17" t="s">
        <v>3785</v>
      </c>
      <c r="B51" s="17" t="s">
        <v>3789</v>
      </c>
      <c r="C51" s="17" t="s">
        <v>3790</v>
      </c>
      <c r="D51" s="17" t="s">
        <v>3791</v>
      </c>
      <c r="E51" s="17" t="s">
        <v>172</v>
      </c>
      <c r="F51" s="17" t="s">
        <v>103</v>
      </c>
      <c r="G51" s="17" t="s">
        <v>14</v>
      </c>
    </row>
    <row r="52" customFormat="false" ht="23.85" hidden="false" customHeight="false" outlineLevel="0" collapsed="false">
      <c r="A52" s="18" t="s">
        <v>3785</v>
      </c>
      <c r="B52" s="18" t="s">
        <v>3792</v>
      </c>
      <c r="C52" s="18" t="s">
        <v>3793</v>
      </c>
      <c r="D52" s="18" t="s">
        <v>1173</v>
      </c>
      <c r="E52" s="18" t="s">
        <v>136</v>
      </c>
      <c r="F52" s="18" t="s">
        <v>103</v>
      </c>
      <c r="G52" s="18" t="s">
        <v>14</v>
      </c>
    </row>
    <row r="53" customFormat="false" ht="15" hidden="false" customHeight="false" outlineLevel="0" collapsed="false">
      <c r="A53" s="17" t="s">
        <v>3785</v>
      </c>
      <c r="B53" s="17" t="s">
        <v>3794</v>
      </c>
      <c r="C53" s="17" t="s">
        <v>3795</v>
      </c>
      <c r="D53" s="17" t="s">
        <v>3796</v>
      </c>
      <c r="E53" s="17" t="s">
        <v>172</v>
      </c>
      <c r="F53" s="17" t="s">
        <v>103</v>
      </c>
      <c r="G53" s="17" t="s">
        <v>16</v>
      </c>
    </row>
    <row r="54" customFormat="false" ht="23.85" hidden="false" customHeight="false" outlineLevel="0" collapsed="false">
      <c r="A54" s="18" t="s">
        <v>3797</v>
      </c>
      <c r="B54" s="18" t="s">
        <v>3798</v>
      </c>
      <c r="C54" s="18" t="s">
        <v>3799</v>
      </c>
      <c r="D54" s="18" t="s">
        <v>3800</v>
      </c>
      <c r="E54" s="18" t="s">
        <v>136</v>
      </c>
      <c r="F54" s="18" t="s">
        <v>103</v>
      </c>
      <c r="G54" s="18" t="s">
        <v>14</v>
      </c>
    </row>
    <row r="55" customFormat="false" ht="23.85" hidden="false" customHeight="false" outlineLevel="0" collapsed="false">
      <c r="A55" s="17" t="s">
        <v>3797</v>
      </c>
      <c r="B55" s="17" t="s">
        <v>3801</v>
      </c>
      <c r="C55" s="17" t="s">
        <v>3802</v>
      </c>
      <c r="D55" s="17" t="s">
        <v>3803</v>
      </c>
      <c r="E55" s="17" t="s">
        <v>136</v>
      </c>
      <c r="F55" s="17" t="s">
        <v>103</v>
      </c>
      <c r="G55" s="17" t="s">
        <v>14</v>
      </c>
    </row>
    <row r="56" customFormat="false" ht="23.85" hidden="false" customHeight="false" outlineLevel="0" collapsed="false">
      <c r="A56" s="18" t="s">
        <v>3797</v>
      </c>
      <c r="B56" s="18" t="s">
        <v>3804</v>
      </c>
      <c r="C56" s="18" t="s">
        <v>3805</v>
      </c>
      <c r="D56" s="18" t="s">
        <v>3806</v>
      </c>
      <c r="E56" s="18" t="s">
        <v>274</v>
      </c>
      <c r="F56" s="18" t="s">
        <v>103</v>
      </c>
      <c r="G56" s="18" t="s">
        <v>14</v>
      </c>
    </row>
    <row r="57" customFormat="false" ht="23.85" hidden="false" customHeight="false" outlineLevel="0" collapsed="false">
      <c r="A57" s="17" t="s">
        <v>3807</v>
      </c>
      <c r="B57" s="17" t="s">
        <v>1006</v>
      </c>
      <c r="C57" s="17" t="s">
        <v>3808</v>
      </c>
      <c r="D57" s="17" t="s">
        <v>3809</v>
      </c>
      <c r="E57" s="17" t="s">
        <v>136</v>
      </c>
      <c r="F57" s="17" t="s">
        <v>103</v>
      </c>
      <c r="G57" s="17" t="s">
        <v>14</v>
      </c>
    </row>
    <row r="58" customFormat="false" ht="15" hidden="false" customHeight="false" outlineLevel="0" collapsed="false">
      <c r="A58" s="18" t="s">
        <v>3807</v>
      </c>
      <c r="B58" s="18" t="s">
        <v>3810</v>
      </c>
      <c r="C58" s="18" t="s">
        <v>3811</v>
      </c>
      <c r="D58" s="18" t="s">
        <v>3812</v>
      </c>
      <c r="E58" s="18" t="s">
        <v>172</v>
      </c>
      <c r="F58" s="18" t="s">
        <v>103</v>
      </c>
      <c r="G58" s="18" t="s">
        <v>16</v>
      </c>
    </row>
    <row r="59" customFormat="false" ht="23.85" hidden="false" customHeight="false" outlineLevel="0" collapsed="false">
      <c r="A59" s="17" t="s">
        <v>3813</v>
      </c>
      <c r="B59" s="17" t="s">
        <v>3814</v>
      </c>
      <c r="C59" s="17" t="s">
        <v>3815</v>
      </c>
      <c r="D59" s="17" t="s">
        <v>3816</v>
      </c>
      <c r="E59" s="17" t="s">
        <v>136</v>
      </c>
      <c r="F59" s="17" t="s">
        <v>103</v>
      </c>
      <c r="G59" s="17" t="s">
        <v>14</v>
      </c>
    </row>
    <row r="60" customFormat="false" ht="23.85" hidden="false" customHeight="false" outlineLevel="0" collapsed="false">
      <c r="A60" s="18" t="s">
        <v>3813</v>
      </c>
      <c r="B60" s="18" t="s">
        <v>3817</v>
      </c>
      <c r="C60" s="18" t="s">
        <v>3818</v>
      </c>
      <c r="D60" s="18" t="s">
        <v>3819</v>
      </c>
      <c r="E60" s="18" t="s">
        <v>172</v>
      </c>
      <c r="F60" s="18" t="s">
        <v>103</v>
      </c>
      <c r="G60" s="18" t="s">
        <v>14</v>
      </c>
    </row>
    <row r="61" customFormat="false" ht="23.85" hidden="false" customHeight="false" outlineLevel="0" collapsed="false">
      <c r="A61" s="17" t="s">
        <v>3813</v>
      </c>
      <c r="B61" s="17" t="s">
        <v>3820</v>
      </c>
      <c r="C61" s="17" t="s">
        <v>3821</v>
      </c>
      <c r="D61" s="17" t="s">
        <v>3822</v>
      </c>
      <c r="E61" s="17" t="s">
        <v>172</v>
      </c>
      <c r="F61" s="17" t="s">
        <v>103</v>
      </c>
      <c r="G61" s="17" t="s">
        <v>14</v>
      </c>
    </row>
    <row r="62" customFormat="false" ht="15" hidden="false" customHeight="false" outlineLevel="0" collapsed="false">
      <c r="A62" s="18" t="s">
        <v>3813</v>
      </c>
      <c r="B62" s="18" t="s">
        <v>3823</v>
      </c>
      <c r="C62" s="18" t="s">
        <v>3824</v>
      </c>
      <c r="D62" s="18" t="s">
        <v>3825</v>
      </c>
      <c r="E62" s="18" t="s">
        <v>172</v>
      </c>
      <c r="F62" s="18" t="s">
        <v>103</v>
      </c>
      <c r="G62" s="18" t="s">
        <v>16</v>
      </c>
    </row>
    <row r="63" customFormat="false" ht="23.85" hidden="false" customHeight="false" outlineLevel="0" collapsed="false">
      <c r="A63" s="17" t="s">
        <v>3826</v>
      </c>
      <c r="B63" s="17" t="s">
        <v>3827</v>
      </c>
      <c r="C63" s="17" t="s">
        <v>3828</v>
      </c>
      <c r="D63" s="17" t="s">
        <v>1496</v>
      </c>
      <c r="E63" s="17" t="s">
        <v>136</v>
      </c>
      <c r="F63" s="17" t="s">
        <v>103</v>
      </c>
      <c r="G63" s="17" t="s">
        <v>14</v>
      </c>
    </row>
    <row r="64" customFormat="false" ht="15" hidden="false" customHeight="false" outlineLevel="0" collapsed="false">
      <c r="A64" s="18" t="s">
        <v>3826</v>
      </c>
      <c r="B64" s="18" t="s">
        <v>3829</v>
      </c>
      <c r="C64" s="18" t="s">
        <v>3830</v>
      </c>
      <c r="D64" s="18" t="s">
        <v>3831</v>
      </c>
      <c r="E64" s="18" t="s">
        <v>172</v>
      </c>
      <c r="F64" s="18" t="s">
        <v>103</v>
      </c>
      <c r="G64" s="18" t="s">
        <v>16</v>
      </c>
    </row>
  </sheetData>
  <autoFilter ref="A4:G64"/>
  <mergeCells count="2">
    <mergeCell ref="A1:G1"/>
    <mergeCell ref="A2:G2"/>
  </mergeCells>
  <conditionalFormatting sqref="E5:E64">
    <cfRule type="expression" priority="2" aboveAverage="0" equalAverage="0" bottom="0" percent="0" rank="0" text="" dxfId="18">
      <formula>EXACT($E5,"CRITICAL")</formula>
    </cfRule>
    <cfRule type="expression" priority="3" aboveAverage="0" equalAverage="0" bottom="0" percent="0" rank="0" text="" dxfId="17">
      <formula>EXACT($E5,"HIGH")</formula>
    </cfRule>
    <cfRule type="expression" priority="4" aboveAverage="0" equalAverage="0" bottom="0" percent="0" rank="0" text="" dxfId="19">
      <formula>EXACT($E5,"MEDIUM")</formula>
    </cfRule>
    <cfRule type="expression" priority="5" aboveAverage="0" equalAverage="0" bottom="0" percent="0" rank="0" text="" dxfId="22">
      <formula>EXACT($E5,"LOW")</formula>
    </cfRule>
  </conditionalFormatting>
  <conditionalFormatting sqref="F5:F64">
    <cfRule type="expression" priority="6" aboveAverage="0" equalAverage="0" bottom="0" percent="0" rank="0" text="" dxfId="16">
      <formula>EXACT($F5,"NOT STARTED")</formula>
    </cfRule>
    <cfRule type="expression" priority="7" aboveAverage="0" equalAverage="0" bottom="0" percent="0" rank="0" text="" dxfId="17">
      <formula>EXACT($F5,"IN PROGRESS")</formula>
    </cfRule>
    <cfRule type="expression" priority="8" aboveAverage="0" equalAverage="0" bottom="0" percent="0" rank="0" text="" dxfId="18">
      <formula>EXACT($F5,"BLOCKED")</formula>
    </cfRule>
    <cfRule type="expression" priority="9" aboveAverage="0" equalAverage="0" bottom="0" percent="0" rank="0" text="" dxfId="19">
      <formula>EXACT($F5,"REVIEW")</formula>
    </cfRule>
    <cfRule type="expression" priority="10" aboveAverage="0" equalAverage="0" bottom="0" percent="0" rank="0" text="" dxfId="20">
      <formula>EXACT($F5,"DONE")</formula>
    </cfRule>
    <cfRule type="expression" priority="11" aboveAverage="0" equalAverage="0" bottom="0" percent="0" rank="0" text="" dxfId="21">
      <formula>EXACT($F5,"DEFERRED")</formula>
    </cfRule>
  </conditionalFormatting>
  <conditionalFormatting sqref="G5:G64">
    <cfRule type="expression" priority="12" aboveAverage="0" equalAverage="0" bottom="0" percent="0" rank="0" text="" dxfId="20">
      <formula>EXACT($G5,"OBSERVED FROM RESEARCH")</formula>
    </cfRule>
    <cfRule type="expression" priority="13" aboveAverage="0" equalAverage="0" bottom="0" percent="0" rank="0" text="" dxfId="19">
      <formula>EXACT($G5,"PROPOSED")</formula>
    </cfRule>
    <cfRule type="expression" priority="14" aboveAverage="0" equalAverage="0" bottom="0" percent="0" rank="0" text="" dxfId="23">
      <formula>EXACT($G5,"DECISION REQUIRED")</formula>
    </cfRule>
    <cfRule type="expression" priority="15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6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56"/>
    <col collapsed="false" customWidth="true" hidden="false" outlineLevel="0" max="4" min="4" style="0" width="7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3832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3833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3834</v>
      </c>
      <c r="B4" s="16" t="s">
        <v>3835</v>
      </c>
      <c r="C4" s="16" t="s">
        <v>3836</v>
      </c>
      <c r="D4" s="16" t="s">
        <v>126</v>
      </c>
      <c r="E4" s="16" t="s">
        <v>2097</v>
      </c>
      <c r="F4" s="16" t="s">
        <v>122</v>
      </c>
      <c r="G4" s="16" t="s">
        <v>128</v>
      </c>
    </row>
    <row r="5" customFormat="false" ht="15" hidden="false" customHeight="false" outlineLevel="0" collapsed="false">
      <c r="A5" s="17" t="s">
        <v>3837</v>
      </c>
      <c r="B5" s="17" t="s">
        <v>3838</v>
      </c>
      <c r="C5" s="17" t="s">
        <v>3839</v>
      </c>
      <c r="D5" s="17" t="s">
        <v>3840</v>
      </c>
      <c r="E5" s="17" t="s">
        <v>3841</v>
      </c>
      <c r="F5" s="17" t="s">
        <v>103</v>
      </c>
      <c r="G5" s="17" t="s">
        <v>16</v>
      </c>
    </row>
    <row r="6" customFormat="false" ht="15" hidden="false" customHeight="false" outlineLevel="0" collapsed="false">
      <c r="A6" s="18" t="s">
        <v>3842</v>
      </c>
      <c r="B6" s="18" t="s">
        <v>3843</v>
      </c>
      <c r="C6" s="18" t="s">
        <v>3844</v>
      </c>
      <c r="D6" s="18" t="s">
        <v>3845</v>
      </c>
      <c r="E6" s="18" t="s">
        <v>1944</v>
      </c>
      <c r="F6" s="18" t="s">
        <v>103</v>
      </c>
      <c r="G6" s="18" t="s">
        <v>16</v>
      </c>
    </row>
    <row r="7" customFormat="false" ht="15" hidden="false" customHeight="false" outlineLevel="0" collapsed="false">
      <c r="A7" s="17" t="s">
        <v>3842</v>
      </c>
      <c r="B7" s="17" t="s">
        <v>3843</v>
      </c>
      <c r="C7" s="17" t="s">
        <v>3846</v>
      </c>
      <c r="D7" s="17" t="s">
        <v>3847</v>
      </c>
      <c r="E7" s="17" t="s">
        <v>1944</v>
      </c>
      <c r="F7" s="17" t="s">
        <v>103</v>
      </c>
      <c r="G7" s="17" t="s">
        <v>16</v>
      </c>
    </row>
    <row r="8" customFormat="false" ht="23.85" hidden="false" customHeight="false" outlineLevel="0" collapsed="false">
      <c r="A8" s="18" t="s">
        <v>3842</v>
      </c>
      <c r="B8" s="18" t="s">
        <v>3843</v>
      </c>
      <c r="C8" s="18" t="s">
        <v>3848</v>
      </c>
      <c r="D8" s="18" t="s">
        <v>3849</v>
      </c>
      <c r="E8" s="18" t="s">
        <v>1944</v>
      </c>
      <c r="F8" s="18" t="s">
        <v>103</v>
      </c>
      <c r="G8" s="18" t="s">
        <v>14</v>
      </c>
    </row>
    <row r="9" customFormat="false" ht="15" hidden="false" customHeight="false" outlineLevel="0" collapsed="false">
      <c r="A9" s="17" t="s">
        <v>3842</v>
      </c>
      <c r="B9" s="17" t="s">
        <v>3843</v>
      </c>
      <c r="C9" s="17" t="s">
        <v>3850</v>
      </c>
      <c r="D9" s="17" t="s">
        <v>3851</v>
      </c>
      <c r="E9" s="17" t="s">
        <v>1944</v>
      </c>
      <c r="F9" s="17" t="s">
        <v>103</v>
      </c>
      <c r="G9" s="17" t="s">
        <v>16</v>
      </c>
    </row>
    <row r="10" customFormat="false" ht="23.85" hidden="false" customHeight="false" outlineLevel="0" collapsed="false">
      <c r="A10" s="18" t="s">
        <v>1984</v>
      </c>
      <c r="B10" s="18" t="s">
        <v>3852</v>
      </c>
      <c r="C10" s="18" t="s">
        <v>3853</v>
      </c>
      <c r="D10" s="18" t="s">
        <v>3854</v>
      </c>
      <c r="E10" s="18" t="s">
        <v>1944</v>
      </c>
      <c r="F10" s="18" t="s">
        <v>103</v>
      </c>
      <c r="G10" s="18" t="s">
        <v>14</v>
      </c>
    </row>
    <row r="11" customFormat="false" ht="15" hidden="false" customHeight="false" outlineLevel="0" collapsed="false">
      <c r="A11" s="17" t="s">
        <v>1984</v>
      </c>
      <c r="B11" s="17" t="s">
        <v>3852</v>
      </c>
      <c r="C11" s="17" t="s">
        <v>3855</v>
      </c>
      <c r="D11" s="17" t="s">
        <v>3856</v>
      </c>
      <c r="E11" s="17" t="s">
        <v>1944</v>
      </c>
      <c r="F11" s="17" t="s">
        <v>103</v>
      </c>
      <c r="G11" s="17" t="s">
        <v>16</v>
      </c>
    </row>
    <row r="12" customFormat="false" ht="23.85" hidden="false" customHeight="false" outlineLevel="0" collapsed="false">
      <c r="A12" s="18" t="s">
        <v>1984</v>
      </c>
      <c r="B12" s="18" t="s">
        <v>3852</v>
      </c>
      <c r="C12" s="18" t="s">
        <v>3857</v>
      </c>
      <c r="D12" s="18" t="s">
        <v>3858</v>
      </c>
      <c r="E12" s="18" t="s">
        <v>1944</v>
      </c>
      <c r="F12" s="18" t="s">
        <v>103</v>
      </c>
      <c r="G12" s="18" t="s">
        <v>14</v>
      </c>
    </row>
    <row r="13" customFormat="false" ht="23.85" hidden="false" customHeight="false" outlineLevel="0" collapsed="false">
      <c r="A13" s="17" t="s">
        <v>3672</v>
      </c>
      <c r="B13" s="17" t="s">
        <v>3852</v>
      </c>
      <c r="C13" s="17" t="s">
        <v>3859</v>
      </c>
      <c r="D13" s="17" t="s">
        <v>3860</v>
      </c>
      <c r="E13" s="17" t="s">
        <v>1944</v>
      </c>
      <c r="F13" s="17" t="s">
        <v>103</v>
      </c>
      <c r="G13" s="17" t="s">
        <v>14</v>
      </c>
    </row>
    <row r="14" customFormat="false" ht="23.85" hidden="false" customHeight="false" outlineLevel="0" collapsed="false">
      <c r="A14" s="18" t="s">
        <v>3672</v>
      </c>
      <c r="B14" s="18" t="s">
        <v>3852</v>
      </c>
      <c r="C14" s="18" t="s">
        <v>3861</v>
      </c>
      <c r="D14" s="18" t="s">
        <v>3862</v>
      </c>
      <c r="E14" s="18" t="s">
        <v>1944</v>
      </c>
      <c r="F14" s="18" t="s">
        <v>103</v>
      </c>
      <c r="G14" s="18" t="s">
        <v>14</v>
      </c>
    </row>
    <row r="15" customFormat="false" ht="23.85" hidden="false" customHeight="false" outlineLevel="0" collapsed="false">
      <c r="A15" s="17" t="s">
        <v>3863</v>
      </c>
      <c r="B15" s="17" t="s">
        <v>3864</v>
      </c>
      <c r="C15" s="17" t="s">
        <v>3865</v>
      </c>
      <c r="D15" s="17" t="s">
        <v>3866</v>
      </c>
      <c r="E15" s="17" t="s">
        <v>1944</v>
      </c>
      <c r="F15" s="17" t="s">
        <v>103</v>
      </c>
      <c r="G15" s="17" t="s">
        <v>14</v>
      </c>
    </row>
    <row r="16" customFormat="false" ht="23.85" hidden="false" customHeight="false" outlineLevel="0" collapsed="false">
      <c r="A16" s="18" t="s">
        <v>3863</v>
      </c>
      <c r="B16" s="18" t="s">
        <v>3864</v>
      </c>
      <c r="C16" s="18" t="s">
        <v>3867</v>
      </c>
      <c r="D16" s="18" t="s">
        <v>3868</v>
      </c>
      <c r="E16" s="18" t="s">
        <v>1944</v>
      </c>
      <c r="F16" s="18" t="s">
        <v>103</v>
      </c>
      <c r="G16" s="18" t="s">
        <v>14</v>
      </c>
    </row>
    <row r="17" customFormat="false" ht="23.85" hidden="false" customHeight="false" outlineLevel="0" collapsed="false">
      <c r="A17" s="17" t="s">
        <v>3863</v>
      </c>
      <c r="B17" s="17" t="s">
        <v>3852</v>
      </c>
      <c r="C17" s="17" t="s">
        <v>3869</v>
      </c>
      <c r="D17" s="17" t="s">
        <v>3870</v>
      </c>
      <c r="E17" s="17" t="s">
        <v>1944</v>
      </c>
      <c r="F17" s="17" t="s">
        <v>103</v>
      </c>
      <c r="G17" s="17" t="s">
        <v>14</v>
      </c>
    </row>
    <row r="18" customFormat="false" ht="23.85" hidden="false" customHeight="false" outlineLevel="0" collapsed="false">
      <c r="A18" s="18" t="s">
        <v>3863</v>
      </c>
      <c r="B18" s="18" t="s">
        <v>3852</v>
      </c>
      <c r="C18" s="18" t="s">
        <v>3871</v>
      </c>
      <c r="D18" s="18" t="s">
        <v>3872</v>
      </c>
      <c r="E18" s="18" t="s">
        <v>1944</v>
      </c>
      <c r="F18" s="18" t="s">
        <v>103</v>
      </c>
      <c r="G18" s="18" t="s">
        <v>14</v>
      </c>
    </row>
    <row r="19" customFormat="false" ht="23.85" hidden="false" customHeight="false" outlineLevel="0" collapsed="false">
      <c r="A19" s="17" t="s">
        <v>3863</v>
      </c>
      <c r="B19" s="17" t="s">
        <v>3852</v>
      </c>
      <c r="C19" s="17" t="s">
        <v>3873</v>
      </c>
      <c r="D19" s="17" t="s">
        <v>3874</v>
      </c>
      <c r="E19" s="17" t="s">
        <v>1944</v>
      </c>
      <c r="F19" s="17" t="s">
        <v>103</v>
      </c>
      <c r="G19" s="17" t="s">
        <v>14</v>
      </c>
    </row>
    <row r="20" customFormat="false" ht="23.85" hidden="false" customHeight="false" outlineLevel="0" collapsed="false">
      <c r="A20" s="18" t="s">
        <v>1943</v>
      </c>
      <c r="B20" s="18" t="s">
        <v>3852</v>
      </c>
      <c r="C20" s="18" t="s">
        <v>3875</v>
      </c>
      <c r="D20" s="18" t="s">
        <v>3876</v>
      </c>
      <c r="E20" s="18" t="s">
        <v>1944</v>
      </c>
      <c r="F20" s="18" t="s">
        <v>103</v>
      </c>
      <c r="G20" s="18" t="s">
        <v>14</v>
      </c>
    </row>
    <row r="21" customFormat="false" ht="23.85" hidden="false" customHeight="false" outlineLevel="0" collapsed="false">
      <c r="A21" s="17" t="s">
        <v>1943</v>
      </c>
      <c r="B21" s="17" t="s">
        <v>3852</v>
      </c>
      <c r="C21" s="17" t="s">
        <v>3877</v>
      </c>
      <c r="D21" s="17" t="s">
        <v>3878</v>
      </c>
      <c r="E21" s="17" t="s">
        <v>1944</v>
      </c>
      <c r="F21" s="17" t="s">
        <v>103</v>
      </c>
      <c r="G21" s="17" t="s">
        <v>14</v>
      </c>
    </row>
    <row r="22" customFormat="false" ht="23.85" hidden="false" customHeight="false" outlineLevel="0" collapsed="false">
      <c r="A22" s="18" t="s">
        <v>1943</v>
      </c>
      <c r="B22" s="18" t="s">
        <v>3852</v>
      </c>
      <c r="C22" s="18" t="s">
        <v>3879</v>
      </c>
      <c r="D22" s="18" t="s">
        <v>3880</v>
      </c>
      <c r="E22" s="18" t="s">
        <v>1944</v>
      </c>
      <c r="F22" s="18" t="s">
        <v>103</v>
      </c>
      <c r="G22" s="18" t="s">
        <v>14</v>
      </c>
    </row>
    <row r="23" customFormat="false" ht="23.85" hidden="false" customHeight="false" outlineLevel="0" collapsed="false">
      <c r="A23" s="17" t="s">
        <v>1943</v>
      </c>
      <c r="B23" s="17" t="s">
        <v>3864</v>
      </c>
      <c r="C23" s="17" t="s">
        <v>3881</v>
      </c>
      <c r="D23" s="17" t="s">
        <v>3882</v>
      </c>
      <c r="E23" s="17" t="s">
        <v>1944</v>
      </c>
      <c r="F23" s="17" t="s">
        <v>103</v>
      </c>
      <c r="G23" s="17" t="s">
        <v>14</v>
      </c>
    </row>
    <row r="24" customFormat="false" ht="23.85" hidden="false" customHeight="false" outlineLevel="0" collapsed="false">
      <c r="A24" s="18" t="s">
        <v>1943</v>
      </c>
      <c r="B24" s="18" t="s">
        <v>3864</v>
      </c>
      <c r="C24" s="18" t="s">
        <v>3883</v>
      </c>
      <c r="D24" s="18" t="s">
        <v>3884</v>
      </c>
      <c r="E24" s="18" t="s">
        <v>1944</v>
      </c>
      <c r="F24" s="18" t="s">
        <v>103</v>
      </c>
      <c r="G24" s="18" t="s">
        <v>14</v>
      </c>
    </row>
    <row r="25" customFormat="false" ht="23.85" hidden="false" customHeight="false" outlineLevel="0" collapsed="false">
      <c r="A25" s="17" t="s">
        <v>1943</v>
      </c>
      <c r="B25" s="17" t="s">
        <v>3852</v>
      </c>
      <c r="C25" s="17" t="s">
        <v>3885</v>
      </c>
      <c r="D25" s="17" t="s">
        <v>3886</v>
      </c>
      <c r="E25" s="17" t="s">
        <v>1944</v>
      </c>
      <c r="F25" s="17" t="s">
        <v>103</v>
      </c>
      <c r="G25" s="17" t="s">
        <v>14</v>
      </c>
    </row>
    <row r="26" customFormat="false" ht="23.85" hidden="false" customHeight="false" outlineLevel="0" collapsed="false">
      <c r="A26" s="18" t="s">
        <v>1943</v>
      </c>
      <c r="B26" s="18" t="s">
        <v>3852</v>
      </c>
      <c r="C26" s="18" t="s">
        <v>3887</v>
      </c>
      <c r="D26" s="18" t="s">
        <v>3888</v>
      </c>
      <c r="E26" s="18" t="s">
        <v>1944</v>
      </c>
      <c r="F26" s="18" t="s">
        <v>103</v>
      </c>
      <c r="G26" s="18" t="s">
        <v>14</v>
      </c>
    </row>
    <row r="27" customFormat="false" ht="23.85" hidden="false" customHeight="false" outlineLevel="0" collapsed="false">
      <c r="A27" s="17" t="s">
        <v>1943</v>
      </c>
      <c r="B27" s="17" t="s">
        <v>2021</v>
      </c>
      <c r="C27" s="17" t="s">
        <v>3889</v>
      </c>
      <c r="D27" s="17" t="s">
        <v>3890</v>
      </c>
      <c r="E27" s="17" t="s">
        <v>1944</v>
      </c>
      <c r="F27" s="17" t="s">
        <v>103</v>
      </c>
      <c r="G27" s="17" t="s">
        <v>14</v>
      </c>
    </row>
    <row r="28" customFormat="false" ht="23.85" hidden="false" customHeight="false" outlineLevel="0" collapsed="false">
      <c r="A28" s="18" t="s">
        <v>1973</v>
      </c>
      <c r="B28" s="18" t="s">
        <v>3864</v>
      </c>
      <c r="C28" s="18" t="s">
        <v>3891</v>
      </c>
      <c r="D28" s="18" t="s">
        <v>3892</v>
      </c>
      <c r="E28" s="18" t="s">
        <v>1944</v>
      </c>
      <c r="F28" s="18" t="s">
        <v>103</v>
      </c>
      <c r="G28" s="18" t="s">
        <v>14</v>
      </c>
    </row>
    <row r="29" customFormat="false" ht="23.85" hidden="false" customHeight="false" outlineLevel="0" collapsed="false">
      <c r="A29" s="17" t="s">
        <v>1973</v>
      </c>
      <c r="B29" s="17" t="s">
        <v>3864</v>
      </c>
      <c r="C29" s="17" t="s">
        <v>3893</v>
      </c>
      <c r="D29" s="17" t="s">
        <v>3894</v>
      </c>
      <c r="E29" s="17" t="s">
        <v>1944</v>
      </c>
      <c r="F29" s="17" t="s">
        <v>103</v>
      </c>
      <c r="G29" s="17" t="s">
        <v>14</v>
      </c>
    </row>
    <row r="30" customFormat="false" ht="23.85" hidden="false" customHeight="false" outlineLevel="0" collapsed="false">
      <c r="A30" s="18" t="s">
        <v>1973</v>
      </c>
      <c r="B30" s="18" t="s">
        <v>3852</v>
      </c>
      <c r="C30" s="18" t="s">
        <v>3895</v>
      </c>
      <c r="D30" s="18" t="s">
        <v>3896</v>
      </c>
      <c r="E30" s="18" t="s">
        <v>1944</v>
      </c>
      <c r="F30" s="18" t="s">
        <v>103</v>
      </c>
      <c r="G30" s="18" t="s">
        <v>14</v>
      </c>
    </row>
    <row r="31" customFormat="false" ht="23.85" hidden="false" customHeight="false" outlineLevel="0" collapsed="false">
      <c r="A31" s="17" t="s">
        <v>1973</v>
      </c>
      <c r="B31" s="17" t="s">
        <v>3852</v>
      </c>
      <c r="C31" s="17" t="s">
        <v>3897</v>
      </c>
      <c r="D31" s="17" t="s">
        <v>3898</v>
      </c>
      <c r="E31" s="17" t="s">
        <v>1944</v>
      </c>
      <c r="F31" s="17" t="s">
        <v>103</v>
      </c>
      <c r="G31" s="17" t="s">
        <v>14</v>
      </c>
    </row>
    <row r="32" customFormat="false" ht="23.85" hidden="false" customHeight="false" outlineLevel="0" collapsed="false">
      <c r="A32" s="18" t="s">
        <v>1973</v>
      </c>
      <c r="B32" s="18" t="s">
        <v>3899</v>
      </c>
      <c r="C32" s="18" t="s">
        <v>3900</v>
      </c>
      <c r="D32" s="18" t="s">
        <v>3901</v>
      </c>
      <c r="E32" s="18" t="s">
        <v>1944</v>
      </c>
      <c r="F32" s="18" t="s">
        <v>103</v>
      </c>
      <c r="G32" s="18" t="s">
        <v>14</v>
      </c>
    </row>
    <row r="33" customFormat="false" ht="23.85" hidden="false" customHeight="false" outlineLevel="0" collapsed="false">
      <c r="A33" s="17" t="s">
        <v>2015</v>
      </c>
      <c r="B33" s="17" t="s">
        <v>3864</v>
      </c>
      <c r="C33" s="17" t="s">
        <v>3902</v>
      </c>
      <c r="D33" s="17" t="s">
        <v>3903</v>
      </c>
      <c r="E33" s="17" t="s">
        <v>1944</v>
      </c>
      <c r="F33" s="17" t="s">
        <v>103</v>
      </c>
      <c r="G33" s="17" t="s">
        <v>14</v>
      </c>
    </row>
    <row r="34" customFormat="false" ht="23.85" hidden="false" customHeight="false" outlineLevel="0" collapsed="false">
      <c r="A34" s="18" t="s">
        <v>2015</v>
      </c>
      <c r="B34" s="18" t="s">
        <v>3864</v>
      </c>
      <c r="C34" s="18" t="s">
        <v>3904</v>
      </c>
      <c r="D34" s="18" t="s">
        <v>3905</v>
      </c>
      <c r="E34" s="18" t="s">
        <v>1944</v>
      </c>
      <c r="F34" s="18" t="s">
        <v>103</v>
      </c>
      <c r="G34" s="18" t="s">
        <v>14</v>
      </c>
    </row>
    <row r="35" customFormat="false" ht="23.85" hidden="false" customHeight="false" outlineLevel="0" collapsed="false">
      <c r="A35" s="17" t="s">
        <v>2015</v>
      </c>
      <c r="B35" s="17" t="s">
        <v>3852</v>
      </c>
      <c r="C35" s="17" t="s">
        <v>3906</v>
      </c>
      <c r="D35" s="17" t="s">
        <v>3907</v>
      </c>
      <c r="E35" s="17" t="s">
        <v>1944</v>
      </c>
      <c r="F35" s="17" t="s">
        <v>103</v>
      </c>
      <c r="G35" s="17" t="s">
        <v>14</v>
      </c>
    </row>
    <row r="36" customFormat="false" ht="15" hidden="false" customHeight="false" outlineLevel="0" collapsed="false">
      <c r="A36" s="18" t="s">
        <v>2100</v>
      </c>
      <c r="B36" s="18" t="s">
        <v>3908</v>
      </c>
      <c r="C36" s="18" t="s">
        <v>3909</v>
      </c>
      <c r="D36" s="18" t="s">
        <v>3910</v>
      </c>
      <c r="E36" s="18" t="s">
        <v>1944</v>
      </c>
      <c r="F36" s="18" t="s">
        <v>103</v>
      </c>
      <c r="G36" s="18" t="s">
        <v>16</v>
      </c>
    </row>
    <row r="37" customFormat="false" ht="15" hidden="false" customHeight="false" outlineLevel="0" collapsed="false">
      <c r="A37" s="17" t="s">
        <v>2100</v>
      </c>
      <c r="B37" s="17" t="s">
        <v>3852</v>
      </c>
      <c r="C37" s="17" t="s">
        <v>3911</v>
      </c>
      <c r="D37" s="17" t="s">
        <v>3912</v>
      </c>
      <c r="E37" s="17" t="s">
        <v>1944</v>
      </c>
      <c r="F37" s="17" t="s">
        <v>103</v>
      </c>
      <c r="G37" s="17" t="s">
        <v>16</v>
      </c>
    </row>
    <row r="38" customFormat="false" ht="23.85" hidden="false" customHeight="false" outlineLevel="0" collapsed="false">
      <c r="A38" s="18" t="s">
        <v>3913</v>
      </c>
      <c r="B38" s="18" t="s">
        <v>3914</v>
      </c>
      <c r="C38" s="18" t="s">
        <v>3915</v>
      </c>
      <c r="D38" s="18" t="s">
        <v>3916</v>
      </c>
      <c r="E38" s="18" t="s">
        <v>1944</v>
      </c>
      <c r="F38" s="18" t="s">
        <v>103</v>
      </c>
      <c r="G38" s="18" t="s">
        <v>14</v>
      </c>
    </row>
    <row r="39" customFormat="false" ht="23.85" hidden="false" customHeight="false" outlineLevel="0" collapsed="false">
      <c r="A39" s="17" t="s">
        <v>3913</v>
      </c>
      <c r="B39" s="17" t="s">
        <v>3914</v>
      </c>
      <c r="C39" s="17" t="s">
        <v>3917</v>
      </c>
      <c r="D39" s="17" t="s">
        <v>3918</v>
      </c>
      <c r="E39" s="17" t="s">
        <v>1944</v>
      </c>
      <c r="F39" s="17" t="s">
        <v>103</v>
      </c>
      <c r="G39" s="17" t="s">
        <v>14</v>
      </c>
    </row>
    <row r="40" customFormat="false" ht="23.85" hidden="false" customHeight="false" outlineLevel="0" collapsed="false">
      <c r="A40" s="18" t="s">
        <v>3442</v>
      </c>
      <c r="B40" s="18" t="s">
        <v>3919</v>
      </c>
      <c r="C40" s="18" t="s">
        <v>3920</v>
      </c>
      <c r="D40" s="18" t="s">
        <v>3921</v>
      </c>
      <c r="E40" s="18" t="s">
        <v>1944</v>
      </c>
      <c r="F40" s="18" t="s">
        <v>103</v>
      </c>
      <c r="G40" s="18" t="s">
        <v>14</v>
      </c>
    </row>
    <row r="41" customFormat="false" ht="23.85" hidden="false" customHeight="false" outlineLevel="0" collapsed="false">
      <c r="A41" s="17" t="s">
        <v>3442</v>
      </c>
      <c r="B41" s="17" t="s">
        <v>3919</v>
      </c>
      <c r="C41" s="17" t="s">
        <v>3922</v>
      </c>
      <c r="D41" s="17" t="s">
        <v>3923</v>
      </c>
      <c r="E41" s="17" t="s">
        <v>1944</v>
      </c>
      <c r="F41" s="17" t="s">
        <v>103</v>
      </c>
      <c r="G41" s="17" t="s">
        <v>14</v>
      </c>
    </row>
    <row r="42" customFormat="false" ht="15" hidden="false" customHeight="false" outlineLevel="0" collapsed="false">
      <c r="A42" s="18" t="s">
        <v>3924</v>
      </c>
      <c r="B42" s="18" t="s">
        <v>3925</v>
      </c>
      <c r="C42" s="18" t="s">
        <v>3926</v>
      </c>
      <c r="D42" s="18" t="s">
        <v>1561</v>
      </c>
      <c r="E42" s="18" t="s">
        <v>1944</v>
      </c>
      <c r="F42" s="18" t="s">
        <v>103</v>
      </c>
      <c r="G42" s="18" t="s">
        <v>16</v>
      </c>
    </row>
    <row r="43" customFormat="false" ht="15" hidden="false" customHeight="false" outlineLevel="0" collapsed="false">
      <c r="A43" s="17" t="s">
        <v>3924</v>
      </c>
      <c r="B43" s="17" t="s">
        <v>3925</v>
      </c>
      <c r="C43" s="17" t="s">
        <v>3927</v>
      </c>
      <c r="D43" s="17" t="s">
        <v>3928</v>
      </c>
      <c r="E43" s="17" t="s">
        <v>1944</v>
      </c>
      <c r="F43" s="17" t="s">
        <v>103</v>
      </c>
      <c r="G43" s="17" t="s">
        <v>16</v>
      </c>
    </row>
    <row r="44" customFormat="false" ht="23.85" hidden="false" customHeight="false" outlineLevel="0" collapsed="false">
      <c r="A44" s="18" t="s">
        <v>3455</v>
      </c>
      <c r="B44" s="18" t="s">
        <v>3929</v>
      </c>
      <c r="C44" s="18" t="s">
        <v>3930</v>
      </c>
      <c r="D44" s="18" t="s">
        <v>3931</v>
      </c>
      <c r="E44" s="18" t="s">
        <v>1944</v>
      </c>
      <c r="F44" s="18" t="s">
        <v>103</v>
      </c>
      <c r="G44" s="18" t="s">
        <v>14</v>
      </c>
    </row>
    <row r="45" customFormat="false" ht="23.85" hidden="false" customHeight="false" outlineLevel="0" collapsed="false">
      <c r="A45" s="17" t="s">
        <v>3455</v>
      </c>
      <c r="B45" s="17" t="s">
        <v>3932</v>
      </c>
      <c r="C45" s="17" t="s">
        <v>3933</v>
      </c>
      <c r="D45" s="17" t="s">
        <v>3934</v>
      </c>
      <c r="E45" s="17" t="s">
        <v>1944</v>
      </c>
      <c r="F45" s="17" t="s">
        <v>103</v>
      </c>
      <c r="G45" s="17" t="s">
        <v>14</v>
      </c>
    </row>
    <row r="46" customFormat="false" ht="23.85" hidden="false" customHeight="false" outlineLevel="0" collapsed="false">
      <c r="A46" s="18" t="s">
        <v>3455</v>
      </c>
      <c r="B46" s="18" t="s">
        <v>3932</v>
      </c>
      <c r="C46" s="18" t="s">
        <v>3935</v>
      </c>
      <c r="D46" s="18" t="s">
        <v>3936</v>
      </c>
      <c r="E46" s="18" t="s">
        <v>1944</v>
      </c>
      <c r="F46" s="18" t="s">
        <v>103</v>
      </c>
      <c r="G46" s="18" t="s">
        <v>14</v>
      </c>
    </row>
    <row r="47" customFormat="false" ht="23.85" hidden="false" customHeight="false" outlineLevel="0" collapsed="false">
      <c r="A47" s="17" t="s">
        <v>3455</v>
      </c>
      <c r="B47" s="17" t="s">
        <v>3932</v>
      </c>
      <c r="C47" s="17" t="s">
        <v>3937</v>
      </c>
      <c r="D47" s="17" t="s">
        <v>3938</v>
      </c>
      <c r="E47" s="17" t="s">
        <v>1944</v>
      </c>
      <c r="F47" s="17" t="s">
        <v>103</v>
      </c>
      <c r="G47" s="17" t="s">
        <v>14</v>
      </c>
    </row>
    <row r="48" customFormat="false" ht="23.85" hidden="false" customHeight="false" outlineLevel="0" collapsed="false">
      <c r="A48" s="18" t="s">
        <v>1962</v>
      </c>
      <c r="B48" s="18" t="s">
        <v>3929</v>
      </c>
      <c r="C48" s="18" t="s">
        <v>3939</v>
      </c>
      <c r="D48" s="18" t="s">
        <v>3940</v>
      </c>
      <c r="E48" s="18" t="s">
        <v>1944</v>
      </c>
      <c r="F48" s="18" t="s">
        <v>103</v>
      </c>
      <c r="G48" s="18" t="s">
        <v>14</v>
      </c>
    </row>
    <row r="49" customFormat="false" ht="23.85" hidden="false" customHeight="false" outlineLevel="0" collapsed="false">
      <c r="A49" s="17" t="s">
        <v>1962</v>
      </c>
      <c r="B49" s="17" t="s">
        <v>3929</v>
      </c>
      <c r="C49" s="17" t="s">
        <v>3941</v>
      </c>
      <c r="D49" s="17" t="s">
        <v>3942</v>
      </c>
      <c r="E49" s="17" t="s">
        <v>1944</v>
      </c>
      <c r="F49" s="17" t="s">
        <v>103</v>
      </c>
      <c r="G49" s="17" t="s">
        <v>14</v>
      </c>
    </row>
    <row r="50" customFormat="false" ht="23.85" hidden="false" customHeight="false" outlineLevel="0" collapsed="false">
      <c r="A50" s="18" t="s">
        <v>1962</v>
      </c>
      <c r="B50" s="18" t="s">
        <v>3929</v>
      </c>
      <c r="C50" s="18" t="s">
        <v>3943</v>
      </c>
      <c r="D50" s="18" t="s">
        <v>3944</v>
      </c>
      <c r="E50" s="18" t="s">
        <v>1944</v>
      </c>
      <c r="F50" s="18" t="s">
        <v>103</v>
      </c>
      <c r="G50" s="18" t="s">
        <v>14</v>
      </c>
    </row>
    <row r="51" customFormat="false" ht="23.85" hidden="false" customHeight="false" outlineLevel="0" collapsed="false">
      <c r="A51" s="17" t="s">
        <v>1962</v>
      </c>
      <c r="B51" s="17" t="s">
        <v>3929</v>
      </c>
      <c r="C51" s="17" t="s">
        <v>3945</v>
      </c>
      <c r="D51" s="17" t="s">
        <v>3946</v>
      </c>
      <c r="E51" s="17" t="s">
        <v>1944</v>
      </c>
      <c r="F51" s="17" t="s">
        <v>103</v>
      </c>
      <c r="G51" s="17" t="s">
        <v>14</v>
      </c>
    </row>
    <row r="52" customFormat="false" ht="23.85" hidden="false" customHeight="false" outlineLevel="0" collapsed="false">
      <c r="A52" s="18" t="s">
        <v>1962</v>
      </c>
      <c r="B52" s="18" t="s">
        <v>3932</v>
      </c>
      <c r="C52" s="18" t="s">
        <v>3947</v>
      </c>
      <c r="D52" s="18" t="s">
        <v>3948</v>
      </c>
      <c r="E52" s="18" t="s">
        <v>1944</v>
      </c>
      <c r="F52" s="18" t="s">
        <v>103</v>
      </c>
      <c r="G52" s="18" t="s">
        <v>14</v>
      </c>
    </row>
    <row r="53" customFormat="false" ht="23.85" hidden="false" customHeight="false" outlineLevel="0" collapsed="false">
      <c r="A53" s="17" t="s">
        <v>2021</v>
      </c>
      <c r="B53" s="17" t="s">
        <v>3949</v>
      </c>
      <c r="C53" s="17" t="s">
        <v>3950</v>
      </c>
      <c r="D53" s="17" t="s">
        <v>3951</v>
      </c>
      <c r="E53" s="17" t="s">
        <v>1944</v>
      </c>
      <c r="F53" s="17" t="s">
        <v>103</v>
      </c>
      <c r="G53" s="17" t="s">
        <v>14</v>
      </c>
    </row>
    <row r="54" customFormat="false" ht="15" hidden="false" customHeight="false" outlineLevel="0" collapsed="false">
      <c r="A54" s="18" t="s">
        <v>2021</v>
      </c>
      <c r="B54" s="18" t="s">
        <v>3952</v>
      </c>
      <c r="C54" s="18" t="s">
        <v>3953</v>
      </c>
      <c r="D54" s="18" t="s">
        <v>3954</v>
      </c>
      <c r="E54" s="18" t="s">
        <v>1944</v>
      </c>
      <c r="F54" s="18" t="s">
        <v>103</v>
      </c>
      <c r="G54" s="18" t="s">
        <v>16</v>
      </c>
    </row>
    <row r="55" customFormat="false" ht="23.85" hidden="false" customHeight="false" outlineLevel="0" collapsed="false">
      <c r="A55" s="17" t="s">
        <v>2021</v>
      </c>
      <c r="B55" s="17" t="s">
        <v>3955</v>
      </c>
      <c r="C55" s="17" t="s">
        <v>3956</v>
      </c>
      <c r="D55" s="17" t="s">
        <v>3957</v>
      </c>
      <c r="E55" s="17" t="s">
        <v>1944</v>
      </c>
      <c r="F55" s="17" t="s">
        <v>103</v>
      </c>
      <c r="G55" s="17" t="s">
        <v>14</v>
      </c>
    </row>
    <row r="56" customFormat="false" ht="15" hidden="false" customHeight="false" outlineLevel="0" collapsed="false">
      <c r="A56" s="18" t="s">
        <v>3899</v>
      </c>
      <c r="B56" s="18" t="s">
        <v>3929</v>
      </c>
      <c r="C56" s="18" t="s">
        <v>3958</v>
      </c>
      <c r="D56" s="18" t="s">
        <v>3959</v>
      </c>
      <c r="E56" s="18" t="s">
        <v>1944</v>
      </c>
      <c r="F56" s="18" t="s">
        <v>103</v>
      </c>
      <c r="G56" s="18" t="s">
        <v>16</v>
      </c>
    </row>
    <row r="57" customFormat="false" ht="23.85" hidden="false" customHeight="false" outlineLevel="0" collapsed="false">
      <c r="A57" s="17" t="s">
        <v>3899</v>
      </c>
      <c r="B57" s="17" t="s">
        <v>3932</v>
      </c>
      <c r="C57" s="17" t="s">
        <v>3960</v>
      </c>
      <c r="D57" s="17" t="s">
        <v>3961</v>
      </c>
      <c r="E57" s="17" t="s">
        <v>1944</v>
      </c>
      <c r="F57" s="17" t="s">
        <v>103</v>
      </c>
      <c r="G57" s="17" t="s">
        <v>14</v>
      </c>
    </row>
    <row r="58" customFormat="false" ht="23.85" hidden="false" customHeight="false" outlineLevel="0" collapsed="false">
      <c r="A58" s="18" t="s">
        <v>3899</v>
      </c>
      <c r="B58" s="18" t="s">
        <v>3932</v>
      </c>
      <c r="C58" s="18" t="s">
        <v>3962</v>
      </c>
      <c r="D58" s="18" t="s">
        <v>1446</v>
      </c>
      <c r="E58" s="18" t="s">
        <v>1944</v>
      </c>
      <c r="F58" s="18" t="s">
        <v>103</v>
      </c>
      <c r="G58" s="18" t="s">
        <v>14</v>
      </c>
    </row>
    <row r="59" customFormat="false" ht="23.85" hidden="false" customHeight="false" outlineLevel="0" collapsed="false">
      <c r="A59" s="17" t="s">
        <v>3899</v>
      </c>
      <c r="B59" s="17" t="s">
        <v>3826</v>
      </c>
      <c r="C59" s="17" t="s">
        <v>3963</v>
      </c>
      <c r="D59" s="17" t="s">
        <v>3964</v>
      </c>
      <c r="E59" s="17" t="s">
        <v>1944</v>
      </c>
      <c r="F59" s="17" t="s">
        <v>103</v>
      </c>
      <c r="G59" s="17" t="s">
        <v>14</v>
      </c>
    </row>
    <row r="60" customFormat="false" ht="23.85" hidden="false" customHeight="false" outlineLevel="0" collapsed="false">
      <c r="A60" s="18" t="s">
        <v>3965</v>
      </c>
      <c r="B60" s="18" t="s">
        <v>3932</v>
      </c>
      <c r="C60" s="18" t="s">
        <v>3966</v>
      </c>
      <c r="D60" s="18" t="s">
        <v>3967</v>
      </c>
      <c r="E60" s="18" t="s">
        <v>1944</v>
      </c>
      <c r="F60" s="18" t="s">
        <v>103</v>
      </c>
      <c r="G60" s="18" t="s">
        <v>14</v>
      </c>
    </row>
    <row r="61" customFormat="false" ht="15" hidden="false" customHeight="false" outlineLevel="0" collapsed="false">
      <c r="A61" s="17" t="s">
        <v>3965</v>
      </c>
      <c r="B61" s="17" t="s">
        <v>3932</v>
      </c>
      <c r="C61" s="17" t="s">
        <v>3968</v>
      </c>
      <c r="D61" s="17" t="s">
        <v>3969</v>
      </c>
      <c r="E61" s="17" t="s">
        <v>1944</v>
      </c>
      <c r="F61" s="17" t="s">
        <v>103</v>
      </c>
      <c r="G61" s="17" t="s">
        <v>16</v>
      </c>
    </row>
    <row r="62" customFormat="false" ht="15" hidden="false" customHeight="false" outlineLevel="0" collapsed="false">
      <c r="A62" s="18" t="s">
        <v>3970</v>
      </c>
      <c r="B62" s="18" t="s">
        <v>3971</v>
      </c>
      <c r="C62" s="18" t="s">
        <v>3972</v>
      </c>
      <c r="D62" s="18" t="s">
        <v>3973</v>
      </c>
      <c r="E62" s="18" t="s">
        <v>1944</v>
      </c>
      <c r="F62" s="18" t="s">
        <v>103</v>
      </c>
      <c r="G62" s="18" t="s">
        <v>16</v>
      </c>
    </row>
    <row r="63" customFormat="false" ht="15" hidden="false" customHeight="false" outlineLevel="0" collapsed="false">
      <c r="A63" s="17" t="s">
        <v>3970</v>
      </c>
      <c r="B63" s="17" t="s">
        <v>3974</v>
      </c>
      <c r="C63" s="17" t="s">
        <v>3975</v>
      </c>
      <c r="D63" s="17" t="s">
        <v>3976</v>
      </c>
      <c r="E63" s="17" t="s">
        <v>1944</v>
      </c>
      <c r="F63" s="17" t="s">
        <v>103</v>
      </c>
      <c r="G63" s="17" t="s">
        <v>16</v>
      </c>
    </row>
    <row r="64" customFormat="false" ht="15" hidden="false" customHeight="false" outlineLevel="0" collapsed="false">
      <c r="A64" s="18" t="s">
        <v>3977</v>
      </c>
      <c r="B64" s="18" t="s">
        <v>3929</v>
      </c>
      <c r="C64" s="18" t="s">
        <v>3978</v>
      </c>
      <c r="D64" s="18" t="s">
        <v>3979</v>
      </c>
      <c r="E64" s="18" t="s">
        <v>1944</v>
      </c>
      <c r="F64" s="18" t="s">
        <v>103</v>
      </c>
      <c r="G64" s="18" t="s">
        <v>16</v>
      </c>
    </row>
  </sheetData>
  <autoFilter ref="A4:G64"/>
  <mergeCells count="2">
    <mergeCell ref="A1:G1"/>
    <mergeCell ref="A2:G2"/>
  </mergeCells>
  <conditionalFormatting sqref="F5:F64">
    <cfRule type="expression" priority="2" aboveAverage="0" equalAverage="0" bottom="0" percent="0" rank="0" text="" dxfId="16">
      <formula>EXACT($F5,"NOT STARTED")</formula>
    </cfRule>
    <cfRule type="expression" priority="3" aboveAverage="0" equalAverage="0" bottom="0" percent="0" rank="0" text="" dxfId="17">
      <formula>EXACT($F5,"IN PROGRESS")</formula>
    </cfRule>
    <cfRule type="expression" priority="4" aboveAverage="0" equalAverage="0" bottom="0" percent="0" rank="0" text="" dxfId="18">
      <formula>EXACT($F5,"BLOCKED")</formula>
    </cfRule>
    <cfRule type="expression" priority="5" aboveAverage="0" equalAverage="0" bottom="0" percent="0" rank="0" text="" dxfId="19">
      <formula>EXACT($F5,"REVIEW")</formula>
    </cfRule>
    <cfRule type="expression" priority="6" aboveAverage="0" equalAverage="0" bottom="0" percent="0" rank="0" text="" dxfId="20">
      <formula>EXACT($F5,"DONE")</formula>
    </cfRule>
    <cfRule type="expression" priority="7" aboveAverage="0" equalAverage="0" bottom="0" percent="0" rank="0" text="" dxfId="21">
      <formula>EXACT($F5,"DEFERRED")</formula>
    </cfRule>
  </conditionalFormatting>
  <conditionalFormatting sqref="G5:G64">
    <cfRule type="expression" priority="8" aboveAverage="0" equalAverage="0" bottom="0" percent="0" rank="0" text="" dxfId="20">
      <formula>EXACT($G5,"OBSERVED FROM RESEARCH")</formula>
    </cfRule>
    <cfRule type="expression" priority="9" aboveAverage="0" equalAverage="0" bottom="0" percent="0" rank="0" text="" dxfId="19">
      <formula>EXACT($G5,"PROPOSED")</formula>
    </cfRule>
    <cfRule type="expression" priority="10" aboveAverage="0" equalAverage="0" bottom="0" percent="0" rank="0" text="" dxfId="23">
      <formula>EXACT($G5,"DECISION REQUIRED")</formula>
    </cfRule>
    <cfRule type="expression" priority="11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6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66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3980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3981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3982</v>
      </c>
      <c r="B4" s="16" t="s">
        <v>3983</v>
      </c>
      <c r="C4" s="16" t="s">
        <v>3984</v>
      </c>
      <c r="D4" s="16" t="s">
        <v>3985</v>
      </c>
      <c r="E4" s="16" t="s">
        <v>3986</v>
      </c>
      <c r="F4" s="16" t="s">
        <v>122</v>
      </c>
      <c r="G4" s="16" t="s">
        <v>128</v>
      </c>
    </row>
    <row r="5" customFormat="false" ht="23.85" hidden="false" customHeight="false" outlineLevel="0" collapsed="false">
      <c r="A5" s="17" t="s">
        <v>3987</v>
      </c>
      <c r="B5" s="17" t="s">
        <v>3988</v>
      </c>
      <c r="C5" s="17" t="s">
        <v>3989</v>
      </c>
      <c r="D5" s="17" t="s">
        <v>3990</v>
      </c>
      <c r="E5" s="17" t="s">
        <v>3991</v>
      </c>
      <c r="F5" s="17" t="s">
        <v>103</v>
      </c>
      <c r="G5" s="17" t="s">
        <v>14</v>
      </c>
    </row>
    <row r="6" customFormat="false" ht="23.85" hidden="false" customHeight="false" outlineLevel="0" collapsed="false">
      <c r="A6" s="18" t="s">
        <v>3992</v>
      </c>
      <c r="B6" s="18" t="s">
        <v>3993</v>
      </c>
      <c r="C6" s="18" t="s">
        <v>3994</v>
      </c>
      <c r="D6" s="18" t="s">
        <v>3995</v>
      </c>
      <c r="E6" s="18" t="s">
        <v>3996</v>
      </c>
      <c r="F6" s="18" t="s">
        <v>103</v>
      </c>
      <c r="G6" s="18" t="s">
        <v>14</v>
      </c>
    </row>
    <row r="7" customFormat="false" ht="23.85" hidden="false" customHeight="false" outlineLevel="0" collapsed="false">
      <c r="A7" s="17" t="s">
        <v>3997</v>
      </c>
      <c r="B7" s="17" t="s">
        <v>3998</v>
      </c>
      <c r="C7" s="17" t="s">
        <v>3999</v>
      </c>
      <c r="D7" s="17" t="s">
        <v>4000</v>
      </c>
      <c r="E7" s="17" t="s">
        <v>4001</v>
      </c>
      <c r="F7" s="17" t="s">
        <v>103</v>
      </c>
      <c r="G7" s="17" t="s">
        <v>14</v>
      </c>
    </row>
    <row r="8" customFormat="false" ht="23.85" hidden="false" customHeight="false" outlineLevel="0" collapsed="false">
      <c r="A8" s="18" t="s">
        <v>4002</v>
      </c>
      <c r="B8" s="18" t="s">
        <v>4003</v>
      </c>
      <c r="C8" s="18" t="s">
        <v>4004</v>
      </c>
      <c r="D8" s="18" t="s">
        <v>4005</v>
      </c>
      <c r="E8" s="18" t="s">
        <v>4006</v>
      </c>
      <c r="F8" s="18" t="s">
        <v>103</v>
      </c>
      <c r="G8" s="18" t="s">
        <v>14</v>
      </c>
    </row>
    <row r="9" customFormat="false" ht="23.85" hidden="false" customHeight="false" outlineLevel="0" collapsed="false">
      <c r="A9" s="17" t="s">
        <v>4007</v>
      </c>
      <c r="B9" s="17" t="s">
        <v>4008</v>
      </c>
      <c r="C9" s="17" t="s">
        <v>4009</v>
      </c>
      <c r="D9" s="17" t="s">
        <v>4010</v>
      </c>
      <c r="E9" s="17" t="s">
        <v>4011</v>
      </c>
      <c r="F9" s="17" t="s">
        <v>103</v>
      </c>
      <c r="G9" s="17" t="s">
        <v>14</v>
      </c>
    </row>
    <row r="10" customFormat="false" ht="23.85" hidden="false" customHeight="false" outlineLevel="0" collapsed="false">
      <c r="A10" s="18" t="s">
        <v>4012</v>
      </c>
      <c r="B10" s="18" t="s">
        <v>4013</v>
      </c>
      <c r="C10" s="18" t="s">
        <v>4014</v>
      </c>
      <c r="D10" s="18" t="s">
        <v>4015</v>
      </c>
      <c r="E10" s="18" t="s">
        <v>4016</v>
      </c>
      <c r="F10" s="18" t="s">
        <v>103</v>
      </c>
      <c r="G10" s="18" t="s">
        <v>14</v>
      </c>
    </row>
    <row r="11" customFormat="false" ht="23.85" hidden="false" customHeight="false" outlineLevel="0" collapsed="false">
      <c r="A11" s="17" t="s">
        <v>4017</v>
      </c>
      <c r="B11" s="17" t="s">
        <v>4018</v>
      </c>
      <c r="C11" s="17" t="s">
        <v>4019</v>
      </c>
      <c r="D11" s="17" t="s">
        <v>4010</v>
      </c>
      <c r="E11" s="17" t="s">
        <v>4020</v>
      </c>
      <c r="F11" s="17" t="s">
        <v>103</v>
      </c>
      <c r="G11" s="17" t="s">
        <v>14</v>
      </c>
    </row>
    <row r="12" customFormat="false" ht="23.85" hidden="false" customHeight="false" outlineLevel="0" collapsed="false">
      <c r="A12" s="18" t="s">
        <v>4021</v>
      </c>
      <c r="B12" s="18" t="s">
        <v>4022</v>
      </c>
      <c r="C12" s="18" t="s">
        <v>4023</v>
      </c>
      <c r="D12" s="18" t="s">
        <v>4024</v>
      </c>
      <c r="E12" s="18" t="s">
        <v>4025</v>
      </c>
      <c r="F12" s="18" t="s">
        <v>103</v>
      </c>
      <c r="G12" s="18" t="s">
        <v>14</v>
      </c>
    </row>
    <row r="13" customFormat="false" ht="23.85" hidden="false" customHeight="false" outlineLevel="0" collapsed="false">
      <c r="A13" s="17" t="s">
        <v>4026</v>
      </c>
      <c r="B13" s="17" t="s">
        <v>4027</v>
      </c>
      <c r="C13" s="17" t="s">
        <v>4028</v>
      </c>
      <c r="D13" s="17" t="s">
        <v>4029</v>
      </c>
      <c r="E13" s="17" t="s">
        <v>4030</v>
      </c>
      <c r="F13" s="17" t="s">
        <v>103</v>
      </c>
      <c r="G13" s="17" t="s">
        <v>14</v>
      </c>
    </row>
    <row r="14" customFormat="false" ht="23.85" hidden="false" customHeight="false" outlineLevel="0" collapsed="false">
      <c r="A14" s="18" t="s">
        <v>4031</v>
      </c>
      <c r="B14" s="18" t="s">
        <v>4032</v>
      </c>
      <c r="C14" s="18" t="s">
        <v>4033</v>
      </c>
      <c r="D14" s="18" t="s">
        <v>4034</v>
      </c>
      <c r="E14" s="18" t="s">
        <v>4035</v>
      </c>
      <c r="F14" s="18" t="s">
        <v>103</v>
      </c>
      <c r="G14" s="18" t="s">
        <v>14</v>
      </c>
    </row>
    <row r="15" customFormat="false" ht="23.85" hidden="false" customHeight="false" outlineLevel="0" collapsed="false">
      <c r="A15" s="17" t="s">
        <v>4036</v>
      </c>
      <c r="B15" s="17" t="s">
        <v>4037</v>
      </c>
      <c r="C15" s="17" t="s">
        <v>4038</v>
      </c>
      <c r="D15" s="17" t="s">
        <v>4039</v>
      </c>
      <c r="E15" s="17" t="s">
        <v>4040</v>
      </c>
      <c r="F15" s="17" t="s">
        <v>103</v>
      </c>
      <c r="G15" s="17" t="s">
        <v>14</v>
      </c>
    </row>
    <row r="16" customFormat="false" ht="23.85" hidden="false" customHeight="false" outlineLevel="0" collapsed="false">
      <c r="A16" s="18" t="s">
        <v>4041</v>
      </c>
      <c r="B16" s="18" t="s">
        <v>4042</v>
      </c>
      <c r="C16" s="18" t="s">
        <v>4043</v>
      </c>
      <c r="D16" s="18" t="s">
        <v>4044</v>
      </c>
      <c r="E16" s="18" t="s">
        <v>4045</v>
      </c>
      <c r="F16" s="18" t="s">
        <v>103</v>
      </c>
      <c r="G16" s="18" t="s">
        <v>14</v>
      </c>
    </row>
  </sheetData>
  <autoFilter ref="A4:G16"/>
  <mergeCells count="2">
    <mergeCell ref="A1:G1"/>
    <mergeCell ref="A2:G2"/>
  </mergeCells>
  <conditionalFormatting sqref="F5:F16">
    <cfRule type="expression" priority="2" aboveAverage="0" equalAverage="0" bottom="0" percent="0" rank="0" text="" dxfId="16">
      <formula>EXACT($F5,"NOT STARTED")</formula>
    </cfRule>
    <cfRule type="expression" priority="3" aboveAverage="0" equalAverage="0" bottom="0" percent="0" rank="0" text="" dxfId="17">
      <formula>EXACT($F5,"IN PROGRESS")</formula>
    </cfRule>
    <cfRule type="expression" priority="4" aboveAverage="0" equalAverage="0" bottom="0" percent="0" rank="0" text="" dxfId="18">
      <formula>EXACT($F5,"BLOCKED")</formula>
    </cfRule>
    <cfRule type="expression" priority="5" aboveAverage="0" equalAverage="0" bottom="0" percent="0" rank="0" text="" dxfId="19">
      <formula>EXACT($F5,"REVIEW")</formula>
    </cfRule>
    <cfRule type="expression" priority="6" aboveAverage="0" equalAverage="0" bottom="0" percent="0" rank="0" text="" dxfId="20">
      <formula>EXACT($F5,"DONE")</formula>
    </cfRule>
    <cfRule type="expression" priority="7" aboveAverage="0" equalAverage="0" bottom="0" percent="0" rank="0" text="" dxfId="21">
      <formula>EXACT($F5,"DEFERRED")</formula>
    </cfRule>
  </conditionalFormatting>
  <conditionalFormatting sqref="G5:G16">
    <cfRule type="expression" priority="8" aboveAverage="0" equalAverage="0" bottom="0" percent="0" rank="0" text="" dxfId="20">
      <formula>EXACT($G5,"OBSERVED FROM RESEARCH")</formula>
    </cfRule>
    <cfRule type="expression" priority="9" aboveAverage="0" equalAverage="0" bottom="0" percent="0" rank="0" text="" dxfId="19">
      <formula>EXACT($G5,"PROPOSED")</formula>
    </cfRule>
    <cfRule type="expression" priority="10" aboveAverage="0" equalAverage="0" bottom="0" percent="0" rank="0" text="" dxfId="23">
      <formula>EXACT($G5,"DECISION REQUIRED")</formula>
    </cfRule>
    <cfRule type="expression" priority="11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16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6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9" t="s">
        <v>4046</v>
      </c>
      <c r="B1" s="19"/>
      <c r="C1" s="19"/>
      <c r="D1" s="19"/>
      <c r="E1" s="19"/>
      <c r="F1" s="19"/>
      <c r="G1" s="19"/>
    </row>
    <row r="2" customFormat="false" ht="27.75" hidden="false" customHeight="true" outlineLevel="0" collapsed="false">
      <c r="A2" s="11" t="s">
        <v>4047</v>
      </c>
      <c r="B2" s="11"/>
      <c r="C2" s="11"/>
      <c r="D2" s="11"/>
      <c r="E2" s="11"/>
      <c r="F2" s="11"/>
      <c r="G2" s="11"/>
    </row>
    <row r="4" customFormat="false" ht="33.75" hidden="false" customHeight="true" outlineLevel="0" collapsed="false">
      <c r="A4" s="16" t="s">
        <v>3264</v>
      </c>
      <c r="B4" s="16" t="s">
        <v>3265</v>
      </c>
      <c r="C4" s="16" t="s">
        <v>3483</v>
      </c>
      <c r="D4" s="16" t="s">
        <v>3267</v>
      </c>
      <c r="E4" s="16" t="s">
        <v>113</v>
      </c>
      <c r="F4" s="16" t="s">
        <v>122</v>
      </c>
      <c r="G4" s="16" t="s">
        <v>128</v>
      </c>
    </row>
    <row r="5" customFormat="false" ht="15" hidden="false" customHeight="false" outlineLevel="0" collapsed="false">
      <c r="A5" s="17" t="s">
        <v>4048</v>
      </c>
      <c r="B5" s="17" t="s">
        <v>4049</v>
      </c>
      <c r="C5" s="17" t="s">
        <v>4050</v>
      </c>
      <c r="D5" s="17" t="s">
        <v>4051</v>
      </c>
      <c r="E5" s="17" t="s">
        <v>1867</v>
      </c>
      <c r="F5" s="17" t="s">
        <v>103</v>
      </c>
      <c r="G5" s="17" t="s">
        <v>16</v>
      </c>
    </row>
    <row r="6" customFormat="false" ht="15" hidden="false" customHeight="false" outlineLevel="0" collapsed="false">
      <c r="A6" s="18" t="s">
        <v>4048</v>
      </c>
      <c r="B6" s="18" t="s">
        <v>4052</v>
      </c>
      <c r="C6" s="18" t="s">
        <v>4053</v>
      </c>
      <c r="D6" s="18" t="s">
        <v>213</v>
      </c>
      <c r="E6" s="18" t="s">
        <v>1867</v>
      </c>
      <c r="F6" s="18" t="s">
        <v>103</v>
      </c>
      <c r="G6" s="18" t="s">
        <v>16</v>
      </c>
    </row>
    <row r="7" customFormat="false" ht="15" hidden="false" customHeight="false" outlineLevel="0" collapsed="false">
      <c r="A7" s="17" t="s">
        <v>4048</v>
      </c>
      <c r="B7" s="17" t="s">
        <v>4054</v>
      </c>
      <c r="C7" s="17" t="s">
        <v>4055</v>
      </c>
      <c r="D7" s="17" t="s">
        <v>4056</v>
      </c>
      <c r="E7" s="17" t="s">
        <v>1867</v>
      </c>
      <c r="F7" s="17" t="s">
        <v>103</v>
      </c>
      <c r="G7" s="17" t="s">
        <v>16</v>
      </c>
    </row>
    <row r="8" customFormat="false" ht="15" hidden="false" customHeight="false" outlineLevel="0" collapsed="false">
      <c r="A8" s="18" t="s">
        <v>210</v>
      </c>
      <c r="B8" s="18" t="s">
        <v>4057</v>
      </c>
      <c r="C8" s="18" t="s">
        <v>4058</v>
      </c>
      <c r="D8" s="18" t="s">
        <v>4059</v>
      </c>
      <c r="E8" s="18" t="s">
        <v>1867</v>
      </c>
      <c r="F8" s="18" t="s">
        <v>103</v>
      </c>
      <c r="G8" s="18" t="s">
        <v>16</v>
      </c>
    </row>
    <row r="9" customFormat="false" ht="15" hidden="false" customHeight="false" outlineLevel="0" collapsed="false">
      <c r="A9" s="17" t="s">
        <v>210</v>
      </c>
      <c r="B9" s="17" t="s">
        <v>4060</v>
      </c>
      <c r="C9" s="17" t="s">
        <v>4061</v>
      </c>
      <c r="D9" s="17" t="s">
        <v>4062</v>
      </c>
      <c r="E9" s="17" t="s">
        <v>1867</v>
      </c>
      <c r="F9" s="17" t="s">
        <v>103</v>
      </c>
      <c r="G9" s="17" t="s">
        <v>16</v>
      </c>
    </row>
    <row r="10" customFormat="false" ht="15" hidden="false" customHeight="false" outlineLevel="0" collapsed="false">
      <c r="A10" s="18" t="s">
        <v>4063</v>
      </c>
      <c r="B10" s="18" t="s">
        <v>4064</v>
      </c>
      <c r="C10" s="18" t="s">
        <v>4065</v>
      </c>
      <c r="D10" s="18" t="s">
        <v>4066</v>
      </c>
      <c r="E10" s="18" t="s">
        <v>1867</v>
      </c>
      <c r="F10" s="18" t="s">
        <v>103</v>
      </c>
      <c r="G10" s="18" t="s">
        <v>16</v>
      </c>
    </row>
    <row r="11" customFormat="false" ht="23.85" hidden="false" customHeight="false" outlineLevel="0" collapsed="false">
      <c r="A11" s="17" t="s">
        <v>4063</v>
      </c>
      <c r="B11" s="17" t="s">
        <v>4067</v>
      </c>
      <c r="C11" s="17" t="s">
        <v>4068</v>
      </c>
      <c r="D11" s="17" t="s">
        <v>4069</v>
      </c>
      <c r="E11" s="17" t="s">
        <v>1867</v>
      </c>
      <c r="F11" s="17" t="s">
        <v>103</v>
      </c>
      <c r="G11" s="17" t="s">
        <v>14</v>
      </c>
    </row>
    <row r="12" customFormat="false" ht="15" hidden="false" customHeight="false" outlineLevel="0" collapsed="false">
      <c r="A12" s="18" t="s">
        <v>4070</v>
      </c>
      <c r="B12" s="18" t="s">
        <v>4071</v>
      </c>
      <c r="C12" s="18" t="s">
        <v>4072</v>
      </c>
      <c r="D12" s="18" t="s">
        <v>4073</v>
      </c>
      <c r="E12" s="18" t="s">
        <v>1867</v>
      </c>
      <c r="F12" s="18" t="s">
        <v>103</v>
      </c>
      <c r="G12" s="18" t="s">
        <v>16</v>
      </c>
    </row>
    <row r="13" customFormat="false" ht="15" hidden="false" customHeight="false" outlineLevel="0" collapsed="false">
      <c r="A13" s="17" t="s">
        <v>4070</v>
      </c>
      <c r="B13" s="17" t="s">
        <v>4074</v>
      </c>
      <c r="C13" s="17" t="s">
        <v>4075</v>
      </c>
      <c r="D13" s="17" t="s">
        <v>4076</v>
      </c>
      <c r="E13" s="17" t="s">
        <v>4077</v>
      </c>
      <c r="F13" s="17" t="s">
        <v>103</v>
      </c>
      <c r="G13" s="17" t="s">
        <v>16</v>
      </c>
    </row>
    <row r="14" customFormat="false" ht="15" hidden="false" customHeight="false" outlineLevel="0" collapsed="false">
      <c r="A14" s="18" t="s">
        <v>4070</v>
      </c>
      <c r="B14" s="18" t="s">
        <v>4078</v>
      </c>
      <c r="C14" s="18" t="s">
        <v>4079</v>
      </c>
      <c r="D14" s="18" t="s">
        <v>4080</v>
      </c>
      <c r="E14" s="18" t="s">
        <v>4077</v>
      </c>
      <c r="F14" s="18" t="s">
        <v>103</v>
      </c>
      <c r="G14" s="18" t="s">
        <v>16</v>
      </c>
    </row>
    <row r="15" customFormat="false" ht="15" hidden="false" customHeight="false" outlineLevel="0" collapsed="false">
      <c r="A15" s="17" t="s">
        <v>4081</v>
      </c>
      <c r="B15" s="17" t="s">
        <v>4082</v>
      </c>
      <c r="C15" s="17" t="s">
        <v>4083</v>
      </c>
      <c r="D15" s="17" t="s">
        <v>4084</v>
      </c>
      <c r="E15" s="17" t="s">
        <v>1867</v>
      </c>
      <c r="F15" s="17" t="s">
        <v>103</v>
      </c>
      <c r="G15" s="17" t="s">
        <v>16</v>
      </c>
    </row>
    <row r="16" customFormat="false" ht="23.85" hidden="false" customHeight="false" outlineLevel="0" collapsed="false">
      <c r="A16" s="18" t="s">
        <v>4081</v>
      </c>
      <c r="B16" s="18" t="s">
        <v>4085</v>
      </c>
      <c r="C16" s="18" t="s">
        <v>4086</v>
      </c>
      <c r="D16" s="18" t="s">
        <v>4087</v>
      </c>
      <c r="E16" s="18" t="s">
        <v>2023</v>
      </c>
      <c r="F16" s="18" t="s">
        <v>103</v>
      </c>
      <c r="G16" s="18" t="s">
        <v>14</v>
      </c>
    </row>
    <row r="17" customFormat="false" ht="15" hidden="false" customHeight="false" outlineLevel="0" collapsed="false">
      <c r="A17" s="17" t="s">
        <v>4081</v>
      </c>
      <c r="B17" s="17" t="s">
        <v>4088</v>
      </c>
      <c r="C17" s="17" t="s">
        <v>4089</v>
      </c>
      <c r="D17" s="17" t="s">
        <v>4090</v>
      </c>
      <c r="E17" s="17" t="s">
        <v>4077</v>
      </c>
      <c r="F17" s="17" t="s">
        <v>103</v>
      </c>
      <c r="G17" s="17" t="s">
        <v>16</v>
      </c>
    </row>
    <row r="18" customFormat="false" ht="15" hidden="false" customHeight="false" outlineLevel="0" collapsed="false">
      <c r="A18" s="18" t="s">
        <v>4081</v>
      </c>
      <c r="B18" s="18" t="s">
        <v>4091</v>
      </c>
      <c r="C18" s="18" t="s">
        <v>4092</v>
      </c>
      <c r="D18" s="18" t="s">
        <v>4093</v>
      </c>
      <c r="E18" s="18" t="s">
        <v>4077</v>
      </c>
      <c r="F18" s="18" t="s">
        <v>103</v>
      </c>
      <c r="G18" s="18" t="s">
        <v>16</v>
      </c>
    </row>
    <row r="19" customFormat="false" ht="23.85" hidden="false" customHeight="false" outlineLevel="0" collapsed="false">
      <c r="A19" s="17" t="s">
        <v>2099</v>
      </c>
      <c r="B19" s="17" t="s">
        <v>4094</v>
      </c>
      <c r="C19" s="17" t="s">
        <v>4095</v>
      </c>
      <c r="D19" s="17" t="s">
        <v>4096</v>
      </c>
      <c r="E19" s="17" t="s">
        <v>1876</v>
      </c>
      <c r="F19" s="17" t="s">
        <v>103</v>
      </c>
      <c r="G19" s="17" t="s">
        <v>14</v>
      </c>
    </row>
    <row r="20" customFormat="false" ht="15" hidden="false" customHeight="false" outlineLevel="0" collapsed="false">
      <c r="A20" s="18" t="s">
        <v>2099</v>
      </c>
      <c r="B20" s="18" t="s">
        <v>4097</v>
      </c>
      <c r="C20" s="18" t="s">
        <v>4098</v>
      </c>
      <c r="D20" s="18" t="s">
        <v>4099</v>
      </c>
      <c r="E20" s="18" t="s">
        <v>4077</v>
      </c>
      <c r="F20" s="18" t="s">
        <v>103</v>
      </c>
      <c r="G20" s="18" t="s">
        <v>16</v>
      </c>
    </row>
    <row r="21" customFormat="false" ht="15" hidden="false" customHeight="false" outlineLevel="0" collapsed="false">
      <c r="A21" s="17" t="s">
        <v>2099</v>
      </c>
      <c r="B21" s="17" t="s">
        <v>4100</v>
      </c>
      <c r="C21" s="17" t="s">
        <v>4101</v>
      </c>
      <c r="D21" s="17" t="s">
        <v>4102</v>
      </c>
      <c r="E21" s="17" t="s">
        <v>4077</v>
      </c>
      <c r="F21" s="17" t="s">
        <v>103</v>
      </c>
      <c r="G21" s="17" t="s">
        <v>16</v>
      </c>
    </row>
    <row r="22" customFormat="false" ht="15" hidden="false" customHeight="false" outlineLevel="0" collapsed="false">
      <c r="A22" s="18" t="s">
        <v>2099</v>
      </c>
      <c r="B22" s="18" t="s">
        <v>4103</v>
      </c>
      <c r="C22" s="18" t="s">
        <v>4104</v>
      </c>
      <c r="D22" s="18" t="s">
        <v>4105</v>
      </c>
      <c r="E22" s="18" t="s">
        <v>1876</v>
      </c>
      <c r="F22" s="18" t="s">
        <v>103</v>
      </c>
      <c r="G22" s="18" t="s">
        <v>16</v>
      </c>
    </row>
    <row r="23" customFormat="false" ht="23.85" hidden="false" customHeight="false" outlineLevel="0" collapsed="false">
      <c r="A23" s="17" t="s">
        <v>4106</v>
      </c>
      <c r="B23" s="17" t="s">
        <v>4107</v>
      </c>
      <c r="C23" s="17" t="s">
        <v>4108</v>
      </c>
      <c r="D23" s="17" t="s">
        <v>4109</v>
      </c>
      <c r="E23" s="17" t="s">
        <v>4077</v>
      </c>
      <c r="F23" s="17" t="s">
        <v>103</v>
      </c>
      <c r="G23" s="17" t="s">
        <v>14</v>
      </c>
    </row>
    <row r="24" customFormat="false" ht="15" hidden="false" customHeight="false" outlineLevel="0" collapsed="false">
      <c r="A24" s="18" t="s">
        <v>4106</v>
      </c>
      <c r="B24" s="18" t="s">
        <v>4110</v>
      </c>
      <c r="C24" s="18" t="s">
        <v>4111</v>
      </c>
      <c r="D24" s="18" t="s">
        <v>4112</v>
      </c>
      <c r="E24" s="18" t="s">
        <v>4077</v>
      </c>
      <c r="F24" s="18" t="s">
        <v>103</v>
      </c>
      <c r="G24" s="18" t="s">
        <v>16</v>
      </c>
    </row>
    <row r="25" customFormat="false" ht="23.85" hidden="false" customHeight="false" outlineLevel="0" collapsed="false">
      <c r="A25" s="17" t="s">
        <v>4106</v>
      </c>
      <c r="B25" s="17" t="s">
        <v>4113</v>
      </c>
      <c r="C25" s="17" t="s">
        <v>4114</v>
      </c>
      <c r="D25" s="17" t="s">
        <v>4115</v>
      </c>
      <c r="E25" s="17" t="s">
        <v>4077</v>
      </c>
      <c r="F25" s="17" t="s">
        <v>103</v>
      </c>
      <c r="G25" s="17" t="s">
        <v>14</v>
      </c>
    </row>
    <row r="26" customFormat="false" ht="15" hidden="false" customHeight="false" outlineLevel="0" collapsed="false">
      <c r="A26" s="18" t="s">
        <v>4106</v>
      </c>
      <c r="B26" s="18" t="s">
        <v>4116</v>
      </c>
      <c r="C26" s="18" t="s">
        <v>4117</v>
      </c>
      <c r="D26" s="18" t="s">
        <v>4118</v>
      </c>
      <c r="E26" s="18" t="s">
        <v>4077</v>
      </c>
      <c r="F26" s="18" t="s">
        <v>103</v>
      </c>
      <c r="G26" s="18" t="s">
        <v>16</v>
      </c>
    </row>
    <row r="27" customFormat="false" ht="15" hidden="false" customHeight="false" outlineLevel="0" collapsed="false">
      <c r="A27" s="17" t="s">
        <v>3974</v>
      </c>
      <c r="B27" s="17" t="s">
        <v>4119</v>
      </c>
      <c r="C27" s="17" t="s">
        <v>4120</v>
      </c>
      <c r="D27" s="17" t="s">
        <v>4121</v>
      </c>
      <c r="E27" s="17" t="s">
        <v>4077</v>
      </c>
      <c r="F27" s="17" t="s">
        <v>103</v>
      </c>
      <c r="G27" s="17" t="s">
        <v>16</v>
      </c>
    </row>
    <row r="28" customFormat="false" ht="15" hidden="false" customHeight="false" outlineLevel="0" collapsed="false">
      <c r="A28" s="18" t="s">
        <v>3974</v>
      </c>
      <c r="B28" s="18" t="s">
        <v>4122</v>
      </c>
      <c r="C28" s="18" t="s">
        <v>4123</v>
      </c>
      <c r="D28" s="18" t="s">
        <v>4124</v>
      </c>
      <c r="E28" s="18" t="s">
        <v>4077</v>
      </c>
      <c r="F28" s="18" t="s">
        <v>103</v>
      </c>
      <c r="G28" s="18" t="s">
        <v>16</v>
      </c>
    </row>
    <row r="29" customFormat="false" ht="23.85" hidden="false" customHeight="false" outlineLevel="0" collapsed="false">
      <c r="A29" s="17" t="s">
        <v>3974</v>
      </c>
      <c r="B29" s="17" t="s">
        <v>4125</v>
      </c>
      <c r="C29" s="17" t="s">
        <v>4126</v>
      </c>
      <c r="D29" s="17" t="s">
        <v>1635</v>
      </c>
      <c r="E29" s="17" t="s">
        <v>4077</v>
      </c>
      <c r="F29" s="17" t="s">
        <v>103</v>
      </c>
      <c r="G29" s="17" t="s">
        <v>14</v>
      </c>
    </row>
    <row r="30" customFormat="false" ht="15" hidden="false" customHeight="false" outlineLevel="0" collapsed="false">
      <c r="A30" s="18" t="s">
        <v>3974</v>
      </c>
      <c r="B30" s="18" t="s">
        <v>4127</v>
      </c>
      <c r="C30" s="18" t="s">
        <v>4128</v>
      </c>
      <c r="D30" s="18" t="s">
        <v>4129</v>
      </c>
      <c r="E30" s="18" t="s">
        <v>1925</v>
      </c>
      <c r="F30" s="18" t="s">
        <v>103</v>
      </c>
      <c r="G30" s="18" t="s">
        <v>16</v>
      </c>
    </row>
    <row r="31" customFormat="false" ht="23.85" hidden="false" customHeight="false" outlineLevel="0" collapsed="false">
      <c r="A31" s="17" t="s">
        <v>2294</v>
      </c>
      <c r="B31" s="17" t="s">
        <v>4130</v>
      </c>
      <c r="C31" s="17" t="s">
        <v>4131</v>
      </c>
      <c r="D31" s="17" t="s">
        <v>1349</v>
      </c>
      <c r="E31" s="17" t="s">
        <v>2019</v>
      </c>
      <c r="F31" s="17" t="s">
        <v>103</v>
      </c>
      <c r="G31" s="17" t="s">
        <v>14</v>
      </c>
    </row>
    <row r="32" customFormat="false" ht="23.85" hidden="false" customHeight="false" outlineLevel="0" collapsed="false">
      <c r="A32" s="18" t="s">
        <v>2294</v>
      </c>
      <c r="B32" s="18" t="s">
        <v>4132</v>
      </c>
      <c r="C32" s="18" t="s">
        <v>4133</v>
      </c>
      <c r="D32" s="18" t="s">
        <v>4134</v>
      </c>
      <c r="E32" s="18" t="s">
        <v>2019</v>
      </c>
      <c r="F32" s="18" t="s">
        <v>103</v>
      </c>
      <c r="G32" s="18" t="s">
        <v>14</v>
      </c>
    </row>
    <row r="33" customFormat="false" ht="15" hidden="false" customHeight="false" outlineLevel="0" collapsed="false">
      <c r="A33" s="17" t="s">
        <v>1640</v>
      </c>
      <c r="B33" s="17" t="s">
        <v>4135</v>
      </c>
      <c r="C33" s="17" t="s">
        <v>4136</v>
      </c>
      <c r="D33" s="17" t="s">
        <v>4137</v>
      </c>
      <c r="E33" s="17" t="s">
        <v>1876</v>
      </c>
      <c r="F33" s="17" t="s">
        <v>103</v>
      </c>
      <c r="G33" s="17" t="s">
        <v>16</v>
      </c>
    </row>
    <row r="34" customFormat="false" ht="15" hidden="false" customHeight="false" outlineLevel="0" collapsed="false">
      <c r="A34" s="18" t="s">
        <v>1640</v>
      </c>
      <c r="B34" s="18" t="s">
        <v>4138</v>
      </c>
      <c r="C34" s="18" t="s">
        <v>4139</v>
      </c>
      <c r="D34" s="18" t="s">
        <v>4140</v>
      </c>
      <c r="E34" s="18" t="s">
        <v>4077</v>
      </c>
      <c r="F34" s="18" t="s">
        <v>103</v>
      </c>
      <c r="G34" s="18" t="s">
        <v>16</v>
      </c>
    </row>
    <row r="35" customFormat="false" ht="23.85" hidden="false" customHeight="false" outlineLevel="0" collapsed="false">
      <c r="A35" s="17" t="s">
        <v>1640</v>
      </c>
      <c r="B35" s="17" t="s">
        <v>4141</v>
      </c>
      <c r="C35" s="17" t="s">
        <v>4142</v>
      </c>
      <c r="D35" s="17" t="s">
        <v>4143</v>
      </c>
      <c r="E35" s="17" t="s">
        <v>1876</v>
      </c>
      <c r="F35" s="17" t="s">
        <v>103</v>
      </c>
      <c r="G35" s="17" t="s">
        <v>14</v>
      </c>
    </row>
    <row r="36" customFormat="false" ht="15" hidden="false" customHeight="false" outlineLevel="0" collapsed="false">
      <c r="A36" s="18" t="s">
        <v>1640</v>
      </c>
      <c r="B36" s="18" t="s">
        <v>4144</v>
      </c>
      <c r="C36" s="18" t="s">
        <v>4145</v>
      </c>
      <c r="D36" s="18" t="s">
        <v>4146</v>
      </c>
      <c r="E36" s="18" t="s">
        <v>4077</v>
      </c>
      <c r="F36" s="18" t="s">
        <v>103</v>
      </c>
      <c r="G36" s="18" t="s">
        <v>16</v>
      </c>
    </row>
    <row r="37" customFormat="false" ht="23.85" hidden="false" customHeight="false" outlineLevel="0" collapsed="false">
      <c r="A37" s="17" t="s">
        <v>2132</v>
      </c>
      <c r="B37" s="17" t="s">
        <v>4147</v>
      </c>
      <c r="C37" s="17" t="s">
        <v>4148</v>
      </c>
      <c r="D37" s="17" t="s">
        <v>1405</v>
      </c>
      <c r="E37" s="17" t="s">
        <v>4077</v>
      </c>
      <c r="F37" s="17" t="s">
        <v>103</v>
      </c>
      <c r="G37" s="17" t="s">
        <v>14</v>
      </c>
    </row>
    <row r="38" customFormat="false" ht="23.85" hidden="false" customHeight="false" outlineLevel="0" collapsed="false">
      <c r="A38" s="18" t="s">
        <v>2132</v>
      </c>
      <c r="B38" s="18" t="s">
        <v>4149</v>
      </c>
      <c r="C38" s="18" t="s">
        <v>4150</v>
      </c>
      <c r="D38" s="18" t="s">
        <v>4151</v>
      </c>
      <c r="E38" s="18" t="s">
        <v>4077</v>
      </c>
      <c r="F38" s="18" t="s">
        <v>103</v>
      </c>
      <c r="G38" s="18" t="s">
        <v>14</v>
      </c>
    </row>
    <row r="39" customFormat="false" ht="15" hidden="false" customHeight="false" outlineLevel="0" collapsed="false">
      <c r="A39" s="17" t="s">
        <v>2132</v>
      </c>
      <c r="B39" s="17" t="s">
        <v>4152</v>
      </c>
      <c r="C39" s="17" t="s">
        <v>4153</v>
      </c>
      <c r="D39" s="17" t="s">
        <v>4154</v>
      </c>
      <c r="E39" s="17" t="s">
        <v>2023</v>
      </c>
      <c r="F39" s="17" t="s">
        <v>103</v>
      </c>
      <c r="G39" s="17" t="s">
        <v>16</v>
      </c>
    </row>
    <row r="40" customFormat="false" ht="23.85" hidden="false" customHeight="false" outlineLevel="0" collapsed="false">
      <c r="A40" s="18" t="s">
        <v>2196</v>
      </c>
      <c r="B40" s="18" t="s">
        <v>4155</v>
      </c>
      <c r="C40" s="18" t="s">
        <v>4156</v>
      </c>
      <c r="D40" s="18" t="s">
        <v>4157</v>
      </c>
      <c r="E40" s="18" t="s">
        <v>1876</v>
      </c>
      <c r="F40" s="18" t="s">
        <v>103</v>
      </c>
      <c r="G40" s="18" t="s">
        <v>14</v>
      </c>
    </row>
    <row r="41" customFormat="false" ht="23.85" hidden="false" customHeight="false" outlineLevel="0" collapsed="false">
      <c r="A41" s="17" t="s">
        <v>2196</v>
      </c>
      <c r="B41" s="17" t="s">
        <v>4158</v>
      </c>
      <c r="C41" s="17" t="s">
        <v>4159</v>
      </c>
      <c r="D41" s="17" t="s">
        <v>4160</v>
      </c>
      <c r="E41" s="17" t="s">
        <v>1876</v>
      </c>
      <c r="F41" s="17" t="s">
        <v>103</v>
      </c>
      <c r="G41" s="17" t="s">
        <v>14</v>
      </c>
    </row>
    <row r="42" customFormat="false" ht="15" hidden="false" customHeight="false" outlineLevel="0" collapsed="false">
      <c r="A42" s="18" t="s">
        <v>2196</v>
      </c>
      <c r="B42" s="18" t="s">
        <v>4161</v>
      </c>
      <c r="C42" s="18" t="s">
        <v>4162</v>
      </c>
      <c r="D42" s="18" t="s">
        <v>4163</v>
      </c>
      <c r="E42" s="18" t="s">
        <v>4077</v>
      </c>
      <c r="F42" s="18" t="s">
        <v>103</v>
      </c>
      <c r="G42" s="18" t="s">
        <v>16</v>
      </c>
    </row>
    <row r="43" customFormat="false" ht="15" hidden="false" customHeight="false" outlineLevel="0" collapsed="false">
      <c r="A43" s="17" t="s">
        <v>4164</v>
      </c>
      <c r="B43" s="17" t="s">
        <v>4165</v>
      </c>
      <c r="C43" s="17" t="s">
        <v>4166</v>
      </c>
      <c r="D43" s="17" t="s">
        <v>1596</v>
      </c>
      <c r="E43" s="17" t="s">
        <v>1863</v>
      </c>
      <c r="F43" s="17" t="s">
        <v>103</v>
      </c>
      <c r="G43" s="17" t="s">
        <v>18</v>
      </c>
    </row>
    <row r="44" customFormat="false" ht="15" hidden="false" customHeight="false" outlineLevel="0" collapsed="false">
      <c r="A44" s="18" t="s">
        <v>4167</v>
      </c>
      <c r="B44" s="18" t="s">
        <v>4168</v>
      </c>
      <c r="C44" s="18" t="s">
        <v>4169</v>
      </c>
      <c r="D44" s="18" t="s">
        <v>4170</v>
      </c>
      <c r="E44" s="18" t="s">
        <v>4077</v>
      </c>
      <c r="F44" s="18" t="s">
        <v>103</v>
      </c>
      <c r="G44" s="18" t="s">
        <v>16</v>
      </c>
    </row>
    <row r="45" customFormat="false" ht="23.85" hidden="false" customHeight="false" outlineLevel="0" collapsed="false">
      <c r="A45" s="17" t="s">
        <v>4171</v>
      </c>
      <c r="B45" s="17" t="s">
        <v>4172</v>
      </c>
      <c r="C45" s="17" t="s">
        <v>4173</v>
      </c>
      <c r="D45" s="17" t="s">
        <v>4174</v>
      </c>
      <c r="E45" s="17" t="s">
        <v>4077</v>
      </c>
      <c r="F45" s="17" t="s">
        <v>103</v>
      </c>
      <c r="G45" s="17" t="s">
        <v>14</v>
      </c>
    </row>
    <row r="46" customFormat="false" ht="15" hidden="false" customHeight="false" outlineLevel="0" collapsed="false">
      <c r="A46" s="18" t="s">
        <v>4171</v>
      </c>
      <c r="B46" s="18" t="s">
        <v>4175</v>
      </c>
      <c r="C46" s="18" t="s">
        <v>4176</v>
      </c>
      <c r="D46" s="18" t="s">
        <v>4177</v>
      </c>
      <c r="E46" s="18" t="s">
        <v>4077</v>
      </c>
      <c r="F46" s="18" t="s">
        <v>103</v>
      </c>
      <c r="G46" s="18" t="s">
        <v>16</v>
      </c>
    </row>
    <row r="47" customFormat="false" ht="15" hidden="false" customHeight="false" outlineLevel="0" collapsed="false">
      <c r="A47" s="17" t="s">
        <v>4178</v>
      </c>
      <c r="B47" s="17" t="s">
        <v>4179</v>
      </c>
      <c r="C47" s="17" t="s">
        <v>4180</v>
      </c>
      <c r="D47" s="17" t="s">
        <v>4181</v>
      </c>
      <c r="E47" s="17" t="s">
        <v>1876</v>
      </c>
      <c r="F47" s="17" t="s">
        <v>103</v>
      </c>
      <c r="G47" s="17" t="s">
        <v>16</v>
      </c>
    </row>
    <row r="48" customFormat="false" ht="15" hidden="false" customHeight="false" outlineLevel="0" collapsed="false">
      <c r="A48" s="18" t="s">
        <v>4178</v>
      </c>
      <c r="B48" s="18" t="s">
        <v>4182</v>
      </c>
      <c r="C48" s="18" t="s">
        <v>4183</v>
      </c>
      <c r="D48" s="18" t="s">
        <v>4184</v>
      </c>
      <c r="E48" s="18" t="s">
        <v>4077</v>
      </c>
      <c r="F48" s="18" t="s">
        <v>103</v>
      </c>
      <c r="G48" s="18" t="s">
        <v>16</v>
      </c>
    </row>
    <row r="49" customFormat="false" ht="23.85" hidden="false" customHeight="false" outlineLevel="0" collapsed="false">
      <c r="A49" s="17" t="s">
        <v>4185</v>
      </c>
      <c r="B49" s="17" t="s">
        <v>4186</v>
      </c>
      <c r="C49" s="17" t="s">
        <v>4187</v>
      </c>
      <c r="D49" s="17" t="s">
        <v>1651</v>
      </c>
      <c r="E49" s="17" t="s">
        <v>4077</v>
      </c>
      <c r="F49" s="17" t="s">
        <v>103</v>
      </c>
      <c r="G49" s="17" t="s">
        <v>14</v>
      </c>
    </row>
    <row r="50" customFormat="false" ht="15" hidden="false" customHeight="false" outlineLevel="0" collapsed="false">
      <c r="A50" s="18" t="s">
        <v>4185</v>
      </c>
      <c r="B50" s="18" t="s">
        <v>4188</v>
      </c>
      <c r="C50" s="18" t="s">
        <v>4189</v>
      </c>
      <c r="D50" s="18" t="s">
        <v>4190</v>
      </c>
      <c r="E50" s="18" t="s">
        <v>4077</v>
      </c>
      <c r="F50" s="18" t="s">
        <v>103</v>
      </c>
      <c r="G50" s="18" t="s">
        <v>16</v>
      </c>
    </row>
    <row r="51" customFormat="false" ht="23.85" hidden="false" customHeight="false" outlineLevel="0" collapsed="false">
      <c r="A51" s="17" t="s">
        <v>4191</v>
      </c>
      <c r="B51" s="17" t="s">
        <v>4192</v>
      </c>
      <c r="C51" s="17" t="s">
        <v>4193</v>
      </c>
      <c r="D51" s="17" t="s">
        <v>1658</v>
      </c>
      <c r="E51" s="17" t="s">
        <v>4077</v>
      </c>
      <c r="F51" s="17" t="s">
        <v>103</v>
      </c>
      <c r="G51" s="17" t="s">
        <v>14</v>
      </c>
    </row>
    <row r="52" customFormat="false" ht="15" hidden="false" customHeight="false" outlineLevel="0" collapsed="false">
      <c r="A52" s="18" t="s">
        <v>4191</v>
      </c>
      <c r="B52" s="18" t="s">
        <v>4194</v>
      </c>
      <c r="C52" s="18" t="s">
        <v>4195</v>
      </c>
      <c r="D52" s="18" t="s">
        <v>4196</v>
      </c>
      <c r="E52" s="18" t="s">
        <v>4077</v>
      </c>
      <c r="F52" s="18" t="s">
        <v>103</v>
      </c>
      <c r="G52" s="18" t="s">
        <v>16</v>
      </c>
    </row>
    <row r="53" customFormat="false" ht="15" hidden="false" customHeight="false" outlineLevel="0" collapsed="false">
      <c r="A53" s="17" t="s">
        <v>1586</v>
      </c>
      <c r="B53" s="17" t="s">
        <v>4197</v>
      </c>
      <c r="C53" s="17" t="s">
        <v>4198</v>
      </c>
      <c r="D53" s="17" t="s">
        <v>4199</v>
      </c>
      <c r="E53" s="17" t="s">
        <v>4077</v>
      </c>
      <c r="F53" s="17" t="s">
        <v>103</v>
      </c>
      <c r="G53" s="17" t="s">
        <v>16</v>
      </c>
    </row>
    <row r="54" customFormat="false" ht="15" hidden="false" customHeight="false" outlineLevel="0" collapsed="false">
      <c r="A54" s="18" t="s">
        <v>4200</v>
      </c>
      <c r="B54" s="18" t="s">
        <v>4201</v>
      </c>
      <c r="C54" s="18" t="s">
        <v>4202</v>
      </c>
      <c r="D54" s="18" t="s">
        <v>4203</v>
      </c>
      <c r="E54" s="18" t="s">
        <v>4077</v>
      </c>
      <c r="F54" s="18" t="s">
        <v>103</v>
      </c>
      <c r="G54" s="18" t="s">
        <v>16</v>
      </c>
    </row>
  </sheetData>
  <autoFilter ref="A4:G54"/>
  <mergeCells count="2">
    <mergeCell ref="A1:G1"/>
    <mergeCell ref="A2:G2"/>
  </mergeCells>
  <conditionalFormatting sqref="F5:F54">
    <cfRule type="expression" priority="2" aboveAverage="0" equalAverage="0" bottom="0" percent="0" rank="0" text="" dxfId="16">
      <formula>EXACT($F5,"NOT STARTED")</formula>
    </cfRule>
    <cfRule type="expression" priority="3" aboveAverage="0" equalAverage="0" bottom="0" percent="0" rank="0" text="" dxfId="17">
      <formula>EXACT($F5,"IN PROGRESS")</formula>
    </cfRule>
    <cfRule type="expression" priority="4" aboveAverage="0" equalAverage="0" bottom="0" percent="0" rank="0" text="" dxfId="18">
      <formula>EXACT($F5,"BLOCKED")</formula>
    </cfRule>
    <cfRule type="expression" priority="5" aboveAverage="0" equalAverage="0" bottom="0" percent="0" rank="0" text="" dxfId="19">
      <formula>EXACT($F5,"REVIEW")</formula>
    </cfRule>
    <cfRule type="expression" priority="6" aboveAverage="0" equalAverage="0" bottom="0" percent="0" rank="0" text="" dxfId="20">
      <formula>EXACT($F5,"DONE")</formula>
    </cfRule>
    <cfRule type="expression" priority="7" aboveAverage="0" equalAverage="0" bottom="0" percent="0" rank="0" text="" dxfId="21">
      <formula>EXACT($F5,"DEFERRED")</formula>
    </cfRule>
  </conditionalFormatting>
  <conditionalFormatting sqref="G5:G54">
    <cfRule type="expression" priority="8" aboveAverage="0" equalAverage="0" bottom="0" percent="0" rank="0" text="" dxfId="20">
      <formula>EXACT($G5,"OBSERVED FROM RESEARCH")</formula>
    </cfRule>
    <cfRule type="expression" priority="9" aboveAverage="0" equalAverage="0" bottom="0" percent="0" rank="0" text="" dxfId="19">
      <formula>EXACT($G5,"PROPOSED")</formula>
    </cfRule>
    <cfRule type="expression" priority="10" aboveAverage="0" equalAverage="0" bottom="0" percent="0" rank="0" text="" dxfId="23">
      <formula>EXACT($G5,"DECISION REQUIRED")</formula>
    </cfRule>
    <cfRule type="expression" priority="11" aboveAverage="0" equalAverage="0" bottom="0" percent="0" rank="0" text="" dxfId="24">
      <formula>EXACT($G5,"USER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F5:F5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64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9" t="s">
        <v>4204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4205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4206</v>
      </c>
      <c r="B4" s="16" t="s">
        <v>2344</v>
      </c>
      <c r="C4" s="16" t="s">
        <v>2097</v>
      </c>
      <c r="D4" s="16" t="s">
        <v>4207</v>
      </c>
      <c r="E4" s="16" t="s">
        <v>4208</v>
      </c>
      <c r="F4" s="16" t="s">
        <v>4209</v>
      </c>
      <c r="G4" s="16" t="s">
        <v>4210</v>
      </c>
      <c r="H4" s="16" t="s">
        <v>122</v>
      </c>
      <c r="I4" s="16" t="s">
        <v>128</v>
      </c>
    </row>
    <row r="5" customFormat="false" ht="23.85" hidden="false" customHeight="false" outlineLevel="0" collapsed="false">
      <c r="A5" s="17" t="s">
        <v>4211</v>
      </c>
      <c r="B5" s="17" t="s">
        <v>4212</v>
      </c>
      <c r="C5" s="17" t="s">
        <v>1944</v>
      </c>
      <c r="D5" s="17" t="s">
        <v>4213</v>
      </c>
      <c r="E5" s="17" t="s">
        <v>4214</v>
      </c>
      <c r="F5" s="17" t="s">
        <v>4215</v>
      </c>
      <c r="G5" s="17" t="s">
        <v>1897</v>
      </c>
      <c r="H5" s="17" t="s">
        <v>103</v>
      </c>
      <c r="I5" s="17" t="s">
        <v>18</v>
      </c>
    </row>
    <row r="6" customFormat="false" ht="15" hidden="false" customHeight="false" outlineLevel="0" collapsed="false">
      <c r="A6" s="18" t="s">
        <v>2301</v>
      </c>
      <c r="B6" s="18" t="s">
        <v>4216</v>
      </c>
      <c r="C6" s="18" t="s">
        <v>1944</v>
      </c>
      <c r="D6" s="18" t="s">
        <v>4217</v>
      </c>
      <c r="E6" s="18" t="s">
        <v>4218</v>
      </c>
      <c r="F6" s="18" t="s">
        <v>4219</v>
      </c>
      <c r="G6" s="18" t="s">
        <v>1907</v>
      </c>
      <c r="H6" s="18" t="s">
        <v>103</v>
      </c>
      <c r="I6" s="18" t="s">
        <v>18</v>
      </c>
    </row>
    <row r="7" customFormat="false" ht="23.85" hidden="false" customHeight="false" outlineLevel="0" collapsed="false">
      <c r="A7" s="17" t="s">
        <v>2196</v>
      </c>
      <c r="B7" s="17" t="s">
        <v>4220</v>
      </c>
      <c r="C7" s="17" t="s">
        <v>1944</v>
      </c>
      <c r="D7" s="17" t="s">
        <v>4221</v>
      </c>
      <c r="E7" s="17" t="s">
        <v>4222</v>
      </c>
      <c r="F7" s="17" t="s">
        <v>4223</v>
      </c>
      <c r="G7" s="17" t="s">
        <v>1876</v>
      </c>
      <c r="H7" s="17" t="s">
        <v>103</v>
      </c>
      <c r="I7" s="17" t="s">
        <v>14</v>
      </c>
    </row>
    <row r="8" customFormat="false" ht="23.85" hidden="false" customHeight="false" outlineLevel="0" collapsed="false">
      <c r="A8" s="18" t="s">
        <v>2132</v>
      </c>
      <c r="B8" s="18" t="s">
        <v>4224</v>
      </c>
      <c r="C8" s="18" t="s">
        <v>1944</v>
      </c>
      <c r="D8" s="18" t="s">
        <v>4225</v>
      </c>
      <c r="E8" s="18" t="s">
        <v>4226</v>
      </c>
      <c r="F8" s="18" t="s">
        <v>4227</v>
      </c>
      <c r="G8" s="18" t="s">
        <v>4077</v>
      </c>
      <c r="H8" s="18" t="s">
        <v>103</v>
      </c>
      <c r="I8" s="18" t="s">
        <v>14</v>
      </c>
    </row>
    <row r="9" customFormat="false" ht="15" hidden="false" customHeight="false" outlineLevel="0" collapsed="false">
      <c r="A9" s="17" t="s">
        <v>4228</v>
      </c>
      <c r="B9" s="17" t="s">
        <v>4229</v>
      </c>
      <c r="C9" s="17" t="s">
        <v>4230</v>
      </c>
      <c r="D9" s="17" t="s">
        <v>4231</v>
      </c>
      <c r="E9" s="17" t="s">
        <v>4232</v>
      </c>
      <c r="F9" s="17" t="s">
        <v>4233</v>
      </c>
      <c r="G9" s="17" t="s">
        <v>1946</v>
      </c>
      <c r="H9" s="17" t="s">
        <v>103</v>
      </c>
      <c r="I9" s="17" t="s">
        <v>18</v>
      </c>
    </row>
    <row r="10" customFormat="false" ht="23.85" hidden="false" customHeight="false" outlineLevel="0" collapsed="false">
      <c r="A10" s="18" t="s">
        <v>1346</v>
      </c>
      <c r="B10" s="18" t="s">
        <v>2293</v>
      </c>
      <c r="C10" s="18" t="s">
        <v>1944</v>
      </c>
      <c r="D10" s="18" t="s">
        <v>1349</v>
      </c>
      <c r="E10" s="18" t="s">
        <v>4234</v>
      </c>
      <c r="F10" s="18" t="s">
        <v>4235</v>
      </c>
      <c r="G10" s="18" t="s">
        <v>2019</v>
      </c>
      <c r="H10" s="18" t="s">
        <v>103</v>
      </c>
      <c r="I10" s="18" t="s">
        <v>14</v>
      </c>
    </row>
    <row r="11" customFormat="false" ht="15" hidden="false" customHeight="false" outlineLevel="0" collapsed="false">
      <c r="A11" s="17" t="s">
        <v>1338</v>
      </c>
      <c r="B11" s="17" t="s">
        <v>4236</v>
      </c>
      <c r="C11" s="17" t="s">
        <v>1944</v>
      </c>
      <c r="D11" s="17" t="s">
        <v>4237</v>
      </c>
      <c r="E11" s="17" t="s">
        <v>4238</v>
      </c>
      <c r="F11" s="17" t="s">
        <v>4239</v>
      </c>
      <c r="G11" s="17" t="s">
        <v>2019</v>
      </c>
      <c r="H11" s="17" t="s">
        <v>103</v>
      </c>
      <c r="I11" s="17" t="s">
        <v>18</v>
      </c>
    </row>
    <row r="12" customFormat="false" ht="23.85" hidden="false" customHeight="false" outlineLevel="0" collapsed="false">
      <c r="A12" s="18" t="s">
        <v>4240</v>
      </c>
      <c r="B12" s="18" t="s">
        <v>4241</v>
      </c>
      <c r="C12" s="18" t="s">
        <v>1944</v>
      </c>
      <c r="D12" s="18" t="s">
        <v>4242</v>
      </c>
      <c r="E12" s="18" t="s">
        <v>4243</v>
      </c>
      <c r="F12" s="18" t="s">
        <v>4244</v>
      </c>
      <c r="G12" s="18" t="s">
        <v>2019</v>
      </c>
      <c r="H12" s="18" t="s">
        <v>103</v>
      </c>
      <c r="I12" s="18" t="s">
        <v>14</v>
      </c>
    </row>
    <row r="13" customFormat="false" ht="15" hidden="false" customHeight="false" outlineLevel="0" collapsed="false">
      <c r="A13" s="17" t="s">
        <v>4245</v>
      </c>
      <c r="B13" s="17" t="s">
        <v>4246</v>
      </c>
      <c r="C13" s="17" t="s">
        <v>1944</v>
      </c>
      <c r="D13" s="17" t="s">
        <v>4247</v>
      </c>
      <c r="E13" s="17" t="s">
        <v>4248</v>
      </c>
      <c r="F13" s="17" t="s">
        <v>4249</v>
      </c>
      <c r="G13" s="17" t="s">
        <v>4077</v>
      </c>
      <c r="H13" s="17" t="s">
        <v>103</v>
      </c>
      <c r="I13" s="17" t="s">
        <v>18</v>
      </c>
    </row>
    <row r="14" customFormat="false" ht="15" hidden="false" customHeight="false" outlineLevel="0" collapsed="false">
      <c r="A14" s="18" t="s">
        <v>4250</v>
      </c>
      <c r="B14" s="18" t="s">
        <v>4251</v>
      </c>
      <c r="C14" s="18" t="s">
        <v>1944</v>
      </c>
      <c r="D14" s="18" t="s">
        <v>4247</v>
      </c>
      <c r="E14" s="18" t="s">
        <v>4252</v>
      </c>
      <c r="F14" s="18" t="s">
        <v>4253</v>
      </c>
      <c r="G14" s="18" t="s">
        <v>4077</v>
      </c>
      <c r="H14" s="18" t="s">
        <v>103</v>
      </c>
      <c r="I14" s="18" t="s">
        <v>18</v>
      </c>
    </row>
    <row r="15" customFormat="false" ht="23.85" hidden="false" customHeight="false" outlineLevel="0" collapsed="false">
      <c r="A15" s="17" t="s">
        <v>4119</v>
      </c>
      <c r="B15" s="17" t="s">
        <v>4254</v>
      </c>
      <c r="C15" s="17" t="s">
        <v>1944</v>
      </c>
      <c r="D15" s="17" t="s">
        <v>4255</v>
      </c>
      <c r="E15" s="17" t="s">
        <v>4256</v>
      </c>
      <c r="F15" s="17" t="s">
        <v>4257</v>
      </c>
      <c r="G15" s="17" t="s">
        <v>4077</v>
      </c>
      <c r="H15" s="17" t="s">
        <v>103</v>
      </c>
      <c r="I15" s="17" t="s">
        <v>14</v>
      </c>
    </row>
    <row r="16" customFormat="false" ht="15" hidden="false" customHeight="false" outlineLevel="0" collapsed="false">
      <c r="A16" s="18" t="s">
        <v>4258</v>
      </c>
      <c r="B16" s="18" t="s">
        <v>4259</v>
      </c>
      <c r="C16" s="18" t="s">
        <v>1944</v>
      </c>
      <c r="D16" s="18" t="s">
        <v>4260</v>
      </c>
      <c r="E16" s="18" t="s">
        <v>4261</v>
      </c>
      <c r="F16" s="18" t="s">
        <v>4262</v>
      </c>
      <c r="G16" s="18" t="s">
        <v>1863</v>
      </c>
      <c r="H16" s="18" t="s">
        <v>103</v>
      </c>
      <c r="I16" s="18" t="s">
        <v>18</v>
      </c>
    </row>
    <row r="17" customFormat="false" ht="15" hidden="false" customHeight="false" outlineLevel="0" collapsed="false">
      <c r="A17" s="17" t="s">
        <v>2316</v>
      </c>
      <c r="B17" s="17" t="s">
        <v>4263</v>
      </c>
      <c r="C17" s="17" t="s">
        <v>2941</v>
      </c>
      <c r="D17" s="17" t="s">
        <v>4264</v>
      </c>
      <c r="E17" s="17" t="s">
        <v>4265</v>
      </c>
      <c r="F17" s="17" t="s">
        <v>4266</v>
      </c>
      <c r="G17" s="17" t="s">
        <v>4267</v>
      </c>
      <c r="H17" s="17" t="s">
        <v>103</v>
      </c>
      <c r="I17" s="17" t="s">
        <v>18</v>
      </c>
    </row>
    <row r="18" customFormat="false" ht="23.85" hidden="false" customHeight="false" outlineLevel="0" collapsed="false">
      <c r="A18" s="18" t="s">
        <v>4268</v>
      </c>
      <c r="B18" s="18" t="s">
        <v>4269</v>
      </c>
      <c r="C18" s="18" t="s">
        <v>4270</v>
      </c>
      <c r="D18" s="18" t="s">
        <v>3806</v>
      </c>
      <c r="E18" s="18" t="s">
        <v>4271</v>
      </c>
      <c r="F18" s="18" t="s">
        <v>4272</v>
      </c>
      <c r="G18" s="18" t="s">
        <v>4273</v>
      </c>
      <c r="H18" s="18" t="s">
        <v>103</v>
      </c>
      <c r="I18" s="18" t="s">
        <v>14</v>
      </c>
    </row>
    <row r="19" customFormat="false" ht="23.85" hidden="false" customHeight="false" outlineLevel="0" collapsed="false">
      <c r="A19" s="17" t="s">
        <v>4274</v>
      </c>
      <c r="B19" s="17" t="s">
        <v>4275</v>
      </c>
      <c r="C19" s="17" t="s">
        <v>4270</v>
      </c>
      <c r="D19" s="17" t="s">
        <v>1784</v>
      </c>
      <c r="E19" s="17" t="s">
        <v>4276</v>
      </c>
      <c r="F19" s="17" t="s">
        <v>4277</v>
      </c>
      <c r="G19" s="17" t="s">
        <v>1933</v>
      </c>
      <c r="H19" s="17" t="s">
        <v>103</v>
      </c>
      <c r="I19" s="17" t="s">
        <v>14</v>
      </c>
    </row>
    <row r="20" customFormat="false" ht="23.85" hidden="false" customHeight="false" outlineLevel="0" collapsed="false">
      <c r="A20" s="18" t="s">
        <v>4278</v>
      </c>
      <c r="B20" s="18" t="s">
        <v>4279</v>
      </c>
      <c r="C20" s="18" t="s">
        <v>2930</v>
      </c>
      <c r="D20" s="18" t="s">
        <v>4280</v>
      </c>
      <c r="E20" s="18" t="s">
        <v>4281</v>
      </c>
      <c r="F20" s="18" t="s">
        <v>4282</v>
      </c>
      <c r="G20" s="18" t="s">
        <v>4273</v>
      </c>
      <c r="H20" s="18" t="s">
        <v>103</v>
      </c>
      <c r="I20" s="18" t="s">
        <v>14</v>
      </c>
    </row>
    <row r="21" customFormat="false" ht="23.85" hidden="false" customHeight="false" outlineLevel="0" collapsed="false">
      <c r="A21" s="17" t="s">
        <v>4283</v>
      </c>
      <c r="B21" s="17" t="s">
        <v>4284</v>
      </c>
      <c r="C21" s="17" t="s">
        <v>2275</v>
      </c>
      <c r="D21" s="17" t="s">
        <v>4285</v>
      </c>
      <c r="E21" s="17" t="s">
        <v>4286</v>
      </c>
      <c r="F21" s="17" t="s">
        <v>4287</v>
      </c>
      <c r="G21" s="17" t="s">
        <v>2005</v>
      </c>
      <c r="H21" s="17" t="s">
        <v>103</v>
      </c>
      <c r="I21" s="17" t="s">
        <v>14</v>
      </c>
    </row>
    <row r="22" customFormat="false" ht="23.85" hidden="false" customHeight="false" outlineLevel="0" collapsed="false">
      <c r="A22" s="18" t="s">
        <v>4288</v>
      </c>
      <c r="B22" s="18" t="s">
        <v>4289</v>
      </c>
      <c r="C22" s="18" t="s">
        <v>2030</v>
      </c>
      <c r="D22" s="18" t="s">
        <v>4290</v>
      </c>
      <c r="E22" s="18" t="s">
        <v>4291</v>
      </c>
      <c r="F22" s="18" t="s">
        <v>4292</v>
      </c>
      <c r="G22" s="18" t="s">
        <v>4273</v>
      </c>
      <c r="H22" s="18" t="s">
        <v>103</v>
      </c>
      <c r="I22" s="18" t="s">
        <v>14</v>
      </c>
    </row>
    <row r="23" customFormat="false" ht="15" hidden="false" customHeight="false" outlineLevel="0" collapsed="false">
      <c r="A23" s="17" t="s">
        <v>4293</v>
      </c>
      <c r="B23" s="17" t="s">
        <v>4294</v>
      </c>
      <c r="C23" s="17" t="s">
        <v>2275</v>
      </c>
      <c r="D23" s="17" t="s">
        <v>4295</v>
      </c>
      <c r="E23" s="17" t="s">
        <v>4296</v>
      </c>
      <c r="F23" s="17" t="s">
        <v>4297</v>
      </c>
      <c r="G23" s="17" t="s">
        <v>1925</v>
      </c>
      <c r="H23" s="17" t="s">
        <v>103</v>
      </c>
      <c r="I23" s="17" t="s">
        <v>16</v>
      </c>
    </row>
    <row r="24" customFormat="false" ht="23.85" hidden="false" customHeight="false" outlineLevel="0" collapsed="false">
      <c r="A24" s="18" t="s">
        <v>4298</v>
      </c>
      <c r="B24" s="18" t="s">
        <v>4299</v>
      </c>
      <c r="C24" s="18" t="s">
        <v>1944</v>
      </c>
      <c r="D24" s="18" t="s">
        <v>3756</v>
      </c>
      <c r="E24" s="18" t="s">
        <v>4300</v>
      </c>
      <c r="F24" s="18" t="s">
        <v>4301</v>
      </c>
      <c r="G24" s="18" t="s">
        <v>4302</v>
      </c>
      <c r="H24" s="18" t="s">
        <v>103</v>
      </c>
      <c r="I24" s="18" t="s">
        <v>14</v>
      </c>
    </row>
  </sheetData>
  <autoFilter ref="A4:I24"/>
  <mergeCells count="2">
    <mergeCell ref="A1:I1"/>
    <mergeCell ref="A2:I2"/>
  </mergeCells>
  <conditionalFormatting sqref="C5:C24">
    <cfRule type="expression" priority="2" aboveAverage="0" equalAverage="0" bottom="0" percent="0" rank="0" text="" dxfId="20">
      <formula>EXACT($C5,"MVP")</formula>
    </cfRule>
    <cfRule type="expression" priority="3" aboveAverage="0" equalAverage="0" bottom="0" percent="0" rank="0" text="" dxfId="22">
      <formula>EXACT($C5,"FUTURE")</formula>
    </cfRule>
    <cfRule type="expression" priority="4" aboveAverage="0" equalAverage="0" bottom="0" percent="0" rank="0" text="" dxfId="21">
      <formula>EXACT($C5,"DEFERRED")</formula>
    </cfRule>
  </conditionalFormatting>
  <conditionalFormatting sqref="H5:H24">
    <cfRule type="expression" priority="5" aboveAverage="0" equalAverage="0" bottom="0" percent="0" rank="0" text="" dxfId="16">
      <formula>EXACT($H5,"NOT STARTED")</formula>
    </cfRule>
    <cfRule type="expression" priority="6" aboveAverage="0" equalAverage="0" bottom="0" percent="0" rank="0" text="" dxfId="17">
      <formula>EXACT($H5,"IN PROGRESS")</formula>
    </cfRule>
    <cfRule type="expression" priority="7" aboveAverage="0" equalAverage="0" bottom="0" percent="0" rank="0" text="" dxfId="18">
      <formula>EXACT($H5,"BLOCKED")</formula>
    </cfRule>
    <cfRule type="expression" priority="8" aboveAverage="0" equalAverage="0" bottom="0" percent="0" rank="0" text="" dxfId="19">
      <formula>EXACT($H5,"REVIEW")</formula>
    </cfRule>
    <cfRule type="expression" priority="9" aboveAverage="0" equalAverage="0" bottom="0" percent="0" rank="0" text="" dxfId="20">
      <formula>EXACT($H5,"DONE")</formula>
    </cfRule>
    <cfRule type="expression" priority="10" aboveAverage="0" equalAverage="0" bottom="0" percent="0" rank="0" text="" dxfId="21">
      <formula>EXACT($H5,"DEFERRED")</formula>
    </cfRule>
  </conditionalFormatting>
  <conditionalFormatting sqref="I5:I24">
    <cfRule type="expression" priority="11" aboveAverage="0" equalAverage="0" bottom="0" percent="0" rank="0" text="" dxfId="20">
      <formula>EXACT($I5,"OBSERVED FROM RESEARCH")</formula>
    </cfRule>
    <cfRule type="expression" priority="12" aboveAverage="0" equalAverage="0" bottom="0" percent="0" rank="0" text="" dxfId="19">
      <formula>EXACT($I5,"PROPOSED")</formula>
    </cfRule>
    <cfRule type="expression" priority="13" aboveAverage="0" equalAverage="0" bottom="0" percent="0" rank="0" text="" dxfId="23">
      <formula>EXACT($I5,"DECISION REQUIRED")</formula>
    </cfRule>
    <cfRule type="expression" priority="14" aboveAverage="0" equalAverage="0" bottom="0" percent="0" rank="0" text="" dxfId="24">
      <formula>EXACT($I5,"USER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H5:H2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8"/>
    <col collapsed="false" customWidth="true" hidden="false" outlineLevel="0" max="5" min="5" style="0" width="7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9" t="s">
        <v>4303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4304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3265</v>
      </c>
      <c r="B4" s="16" t="s">
        <v>4305</v>
      </c>
      <c r="C4" s="16" t="s">
        <v>2097</v>
      </c>
      <c r="D4" s="16" t="s">
        <v>118</v>
      </c>
      <c r="E4" s="16" t="s">
        <v>4306</v>
      </c>
      <c r="F4" s="16" t="s">
        <v>1855</v>
      </c>
      <c r="G4" s="16" t="s">
        <v>4307</v>
      </c>
      <c r="H4" s="16" t="s">
        <v>122</v>
      </c>
      <c r="I4" s="16" t="s">
        <v>128</v>
      </c>
    </row>
    <row r="5" customFormat="false" ht="23.85" hidden="false" customHeight="false" outlineLevel="0" collapsed="false">
      <c r="A5" s="17" t="s">
        <v>4308</v>
      </c>
      <c r="B5" s="17" t="s">
        <v>4309</v>
      </c>
      <c r="C5" s="17" t="s">
        <v>1944</v>
      </c>
      <c r="D5" s="17" t="s">
        <v>4310</v>
      </c>
      <c r="E5" s="17" t="s">
        <v>4311</v>
      </c>
      <c r="F5" s="17" t="s">
        <v>1989</v>
      </c>
      <c r="G5" s="17" t="s">
        <v>1944</v>
      </c>
      <c r="H5" s="17" t="s">
        <v>103</v>
      </c>
      <c r="I5" s="17" t="s">
        <v>14</v>
      </c>
    </row>
    <row r="6" customFormat="false" ht="23.85" hidden="false" customHeight="false" outlineLevel="0" collapsed="false">
      <c r="A6" s="18" t="s">
        <v>4312</v>
      </c>
      <c r="B6" s="18" t="s">
        <v>4313</v>
      </c>
      <c r="C6" s="18" t="s">
        <v>1944</v>
      </c>
      <c r="D6" s="18" t="s">
        <v>4314</v>
      </c>
      <c r="E6" s="18" t="s">
        <v>4315</v>
      </c>
      <c r="F6" s="18" t="s">
        <v>1989</v>
      </c>
      <c r="G6" s="18" t="s">
        <v>1944</v>
      </c>
      <c r="H6" s="18" t="s">
        <v>103</v>
      </c>
      <c r="I6" s="18" t="s">
        <v>14</v>
      </c>
    </row>
    <row r="7" customFormat="false" ht="23.85" hidden="false" customHeight="false" outlineLevel="0" collapsed="false">
      <c r="A7" s="17" t="s">
        <v>4316</v>
      </c>
      <c r="B7" s="17" t="s">
        <v>4317</v>
      </c>
      <c r="C7" s="17" t="s">
        <v>1944</v>
      </c>
      <c r="D7" s="17" t="s">
        <v>4318</v>
      </c>
      <c r="E7" s="17" t="s">
        <v>4319</v>
      </c>
      <c r="F7" s="17" t="s">
        <v>1989</v>
      </c>
      <c r="G7" s="17" t="s">
        <v>1944</v>
      </c>
      <c r="H7" s="17" t="s">
        <v>103</v>
      </c>
      <c r="I7" s="17" t="s">
        <v>14</v>
      </c>
    </row>
    <row r="8" customFormat="false" ht="23.85" hidden="false" customHeight="false" outlineLevel="0" collapsed="false">
      <c r="A8" s="18" t="s">
        <v>4320</v>
      </c>
      <c r="B8" s="18" t="s">
        <v>4317</v>
      </c>
      <c r="C8" s="18" t="s">
        <v>1944</v>
      </c>
      <c r="D8" s="18" t="s">
        <v>4321</v>
      </c>
      <c r="E8" s="18" t="s">
        <v>4322</v>
      </c>
      <c r="F8" s="18" t="s">
        <v>1907</v>
      </c>
      <c r="G8" s="18" t="s">
        <v>1944</v>
      </c>
      <c r="H8" s="18" t="s">
        <v>103</v>
      </c>
      <c r="I8" s="18" t="s">
        <v>14</v>
      </c>
    </row>
    <row r="9" customFormat="false" ht="23.85" hidden="false" customHeight="false" outlineLevel="0" collapsed="false">
      <c r="A9" s="17" t="s">
        <v>4323</v>
      </c>
      <c r="B9" s="17" t="s">
        <v>2018</v>
      </c>
      <c r="C9" s="17" t="s">
        <v>1944</v>
      </c>
      <c r="D9" s="17" t="s">
        <v>4324</v>
      </c>
      <c r="E9" s="17" t="s">
        <v>4325</v>
      </c>
      <c r="F9" s="17" t="s">
        <v>2056</v>
      </c>
      <c r="G9" s="17" t="s">
        <v>1944</v>
      </c>
      <c r="H9" s="17" t="s">
        <v>103</v>
      </c>
      <c r="I9" s="17" t="s">
        <v>14</v>
      </c>
    </row>
    <row r="10" customFormat="false" ht="23.85" hidden="false" customHeight="false" outlineLevel="0" collapsed="false">
      <c r="A10" s="18" t="s">
        <v>4326</v>
      </c>
      <c r="B10" s="18" t="s">
        <v>4327</v>
      </c>
      <c r="C10" s="18" t="s">
        <v>1944</v>
      </c>
      <c r="D10" s="18" t="s">
        <v>4328</v>
      </c>
      <c r="E10" s="18" t="s">
        <v>4329</v>
      </c>
      <c r="F10" s="18" t="s">
        <v>1947</v>
      </c>
      <c r="G10" s="18" t="s">
        <v>4330</v>
      </c>
      <c r="H10" s="18" t="s">
        <v>103</v>
      </c>
      <c r="I10" s="18" t="s">
        <v>14</v>
      </c>
    </row>
    <row r="11" customFormat="false" ht="23.85" hidden="false" customHeight="false" outlineLevel="0" collapsed="false">
      <c r="A11" s="17" t="s">
        <v>4331</v>
      </c>
      <c r="B11" s="17" t="s">
        <v>4332</v>
      </c>
      <c r="C11" s="17" t="s">
        <v>2030</v>
      </c>
      <c r="D11" s="17" t="s">
        <v>4333</v>
      </c>
      <c r="E11" s="17" t="s">
        <v>4334</v>
      </c>
      <c r="F11" s="17" t="s">
        <v>2060</v>
      </c>
      <c r="G11" s="17" t="s">
        <v>2057</v>
      </c>
      <c r="H11" s="17" t="s">
        <v>103</v>
      </c>
      <c r="I11" s="17" t="s">
        <v>14</v>
      </c>
    </row>
    <row r="12" customFormat="false" ht="23.85" hidden="false" customHeight="false" outlineLevel="0" collapsed="false">
      <c r="A12" s="18" t="s">
        <v>4335</v>
      </c>
      <c r="B12" s="18" t="s">
        <v>4332</v>
      </c>
      <c r="C12" s="18" t="s">
        <v>2030</v>
      </c>
      <c r="D12" s="18" t="s">
        <v>4336</v>
      </c>
      <c r="E12" s="18" t="s">
        <v>4337</v>
      </c>
      <c r="F12" s="18" t="s">
        <v>4338</v>
      </c>
      <c r="G12" s="18" t="s">
        <v>2057</v>
      </c>
      <c r="H12" s="18" t="s">
        <v>103</v>
      </c>
      <c r="I12" s="18" t="s">
        <v>14</v>
      </c>
    </row>
    <row r="13" customFormat="false" ht="23.85" hidden="false" customHeight="false" outlineLevel="0" collapsed="false">
      <c r="A13" s="17" t="s">
        <v>4339</v>
      </c>
      <c r="B13" s="17" t="s">
        <v>4332</v>
      </c>
      <c r="C13" s="17" t="s">
        <v>2030</v>
      </c>
      <c r="D13" s="17" t="s">
        <v>4340</v>
      </c>
      <c r="E13" s="17" t="s">
        <v>4341</v>
      </c>
      <c r="F13" s="17" t="s">
        <v>4342</v>
      </c>
      <c r="G13" s="17" t="s">
        <v>2053</v>
      </c>
      <c r="H13" s="17" t="s">
        <v>103</v>
      </c>
      <c r="I13" s="17" t="s">
        <v>14</v>
      </c>
    </row>
    <row r="14" customFormat="false" ht="23.85" hidden="false" customHeight="false" outlineLevel="0" collapsed="false">
      <c r="A14" s="18" t="s">
        <v>4343</v>
      </c>
      <c r="B14" s="18" t="s">
        <v>4332</v>
      </c>
      <c r="C14" s="18" t="s">
        <v>2030</v>
      </c>
      <c r="D14" s="18" t="s">
        <v>4344</v>
      </c>
      <c r="E14" s="18" t="s">
        <v>4345</v>
      </c>
      <c r="F14" s="18" t="s">
        <v>4346</v>
      </c>
      <c r="G14" s="18" t="s">
        <v>2045</v>
      </c>
      <c r="H14" s="18" t="s">
        <v>103</v>
      </c>
      <c r="I14" s="18" t="s">
        <v>14</v>
      </c>
    </row>
    <row r="15" customFormat="false" ht="23.85" hidden="false" customHeight="false" outlineLevel="0" collapsed="false">
      <c r="A15" s="17" t="s">
        <v>4347</v>
      </c>
      <c r="B15" s="17" t="s">
        <v>4317</v>
      </c>
      <c r="C15" s="17" t="s">
        <v>2030</v>
      </c>
      <c r="D15" s="17" t="s">
        <v>4348</v>
      </c>
      <c r="E15" s="17" t="s">
        <v>4349</v>
      </c>
      <c r="F15" s="17" t="s">
        <v>2316</v>
      </c>
      <c r="G15" s="17" t="s">
        <v>2057</v>
      </c>
      <c r="H15" s="17" t="s">
        <v>103</v>
      </c>
      <c r="I15" s="17" t="s">
        <v>14</v>
      </c>
    </row>
    <row r="16" customFormat="false" ht="23.85" hidden="false" customHeight="false" outlineLevel="0" collapsed="false">
      <c r="A16" s="18" t="s">
        <v>2321</v>
      </c>
      <c r="B16" s="18" t="s">
        <v>4350</v>
      </c>
      <c r="C16" s="18" t="s">
        <v>2030</v>
      </c>
      <c r="D16" s="18" t="s">
        <v>4351</v>
      </c>
      <c r="E16" s="18" t="s">
        <v>4352</v>
      </c>
      <c r="F16" s="18" t="s">
        <v>4353</v>
      </c>
      <c r="G16" s="18" t="s">
        <v>2057</v>
      </c>
      <c r="H16" s="18" t="s">
        <v>103</v>
      </c>
      <c r="I16" s="18" t="s">
        <v>14</v>
      </c>
    </row>
    <row r="17" customFormat="false" ht="23.85" hidden="false" customHeight="false" outlineLevel="0" collapsed="false">
      <c r="A17" s="17" t="s">
        <v>4354</v>
      </c>
      <c r="B17" s="17" t="s">
        <v>4350</v>
      </c>
      <c r="C17" s="17" t="s">
        <v>2030</v>
      </c>
      <c r="D17" s="17" t="s">
        <v>4355</v>
      </c>
      <c r="E17" s="17" t="s">
        <v>4356</v>
      </c>
      <c r="F17" s="17" t="s">
        <v>4357</v>
      </c>
      <c r="G17" s="17" t="s">
        <v>2057</v>
      </c>
      <c r="H17" s="17" t="s">
        <v>103</v>
      </c>
      <c r="I17" s="17" t="s">
        <v>14</v>
      </c>
    </row>
    <row r="18" customFormat="false" ht="23.85" hidden="false" customHeight="false" outlineLevel="0" collapsed="false">
      <c r="A18" s="18" t="s">
        <v>4358</v>
      </c>
      <c r="B18" s="18" t="s">
        <v>4327</v>
      </c>
      <c r="C18" s="18" t="s">
        <v>2030</v>
      </c>
      <c r="D18" s="18" t="s">
        <v>4359</v>
      </c>
      <c r="E18" s="18" t="s">
        <v>4360</v>
      </c>
      <c r="F18" s="18" t="s">
        <v>4357</v>
      </c>
      <c r="G18" s="18" t="s">
        <v>2057</v>
      </c>
      <c r="H18" s="18" t="s">
        <v>103</v>
      </c>
      <c r="I18" s="18" t="s">
        <v>14</v>
      </c>
    </row>
    <row r="19" customFormat="false" ht="15" hidden="false" customHeight="false" outlineLevel="0" collapsed="false">
      <c r="A19" s="17" t="s">
        <v>4361</v>
      </c>
      <c r="B19" s="17" t="s">
        <v>4350</v>
      </c>
      <c r="C19" s="17" t="s">
        <v>2030</v>
      </c>
      <c r="D19" s="17" t="s">
        <v>4362</v>
      </c>
      <c r="E19" s="17" t="s">
        <v>4363</v>
      </c>
      <c r="F19" s="17" t="s">
        <v>4364</v>
      </c>
      <c r="G19" s="17" t="s">
        <v>2040</v>
      </c>
      <c r="H19" s="17" t="s">
        <v>103</v>
      </c>
      <c r="I19" s="17" t="s">
        <v>16</v>
      </c>
    </row>
    <row r="20" customFormat="false" ht="23.85" hidden="false" customHeight="false" outlineLevel="0" collapsed="false">
      <c r="A20" s="18" t="s">
        <v>4365</v>
      </c>
      <c r="B20" s="18" t="s">
        <v>4366</v>
      </c>
      <c r="C20" s="18" t="s">
        <v>2030</v>
      </c>
      <c r="D20" s="18" t="s">
        <v>4367</v>
      </c>
      <c r="E20" s="18" t="s">
        <v>4368</v>
      </c>
      <c r="F20" s="18" t="s">
        <v>4369</v>
      </c>
      <c r="G20" s="18" t="s">
        <v>2053</v>
      </c>
      <c r="H20" s="18" t="s">
        <v>103</v>
      </c>
      <c r="I20" s="18" t="s">
        <v>14</v>
      </c>
    </row>
    <row r="21" customFormat="false" ht="15" hidden="false" customHeight="false" outlineLevel="0" collapsed="false">
      <c r="A21" s="17" t="s">
        <v>4370</v>
      </c>
      <c r="B21" s="17" t="s">
        <v>4206</v>
      </c>
      <c r="C21" s="17" t="s">
        <v>2030</v>
      </c>
      <c r="D21" s="17" t="s">
        <v>4371</v>
      </c>
      <c r="E21" s="17" t="s">
        <v>4372</v>
      </c>
      <c r="F21" s="17" t="s">
        <v>4373</v>
      </c>
      <c r="G21" s="17" t="s">
        <v>2053</v>
      </c>
      <c r="H21" s="17" t="s">
        <v>103</v>
      </c>
      <c r="I21" s="17" t="s">
        <v>16</v>
      </c>
    </row>
    <row r="22" customFormat="false" ht="23.85" hidden="false" customHeight="false" outlineLevel="0" collapsed="false">
      <c r="A22" s="18" t="s">
        <v>4374</v>
      </c>
      <c r="B22" s="18" t="s">
        <v>4375</v>
      </c>
      <c r="C22" s="18" t="s">
        <v>2030</v>
      </c>
      <c r="D22" s="18" t="s">
        <v>4376</v>
      </c>
      <c r="E22" s="18" t="s">
        <v>4377</v>
      </c>
      <c r="F22" s="18" t="s">
        <v>4378</v>
      </c>
      <c r="G22" s="18" t="s">
        <v>2066</v>
      </c>
      <c r="H22" s="18" t="s">
        <v>103</v>
      </c>
      <c r="I22" s="18" t="s">
        <v>14</v>
      </c>
    </row>
    <row r="23" customFormat="false" ht="23.85" hidden="false" customHeight="false" outlineLevel="0" collapsed="false">
      <c r="A23" s="17" t="s">
        <v>4379</v>
      </c>
      <c r="B23" s="17" t="s">
        <v>4375</v>
      </c>
      <c r="C23" s="17" t="s">
        <v>2030</v>
      </c>
      <c r="D23" s="17" t="s">
        <v>4380</v>
      </c>
      <c r="E23" s="17" t="s">
        <v>4381</v>
      </c>
      <c r="F23" s="17" t="s">
        <v>4382</v>
      </c>
      <c r="G23" s="17" t="s">
        <v>2066</v>
      </c>
      <c r="H23" s="17" t="s">
        <v>103</v>
      </c>
      <c r="I23" s="17" t="s">
        <v>14</v>
      </c>
    </row>
    <row r="24" customFormat="false" ht="23.85" hidden="false" customHeight="false" outlineLevel="0" collapsed="false">
      <c r="A24" s="18" t="s">
        <v>4383</v>
      </c>
      <c r="B24" s="18" t="s">
        <v>4327</v>
      </c>
      <c r="C24" s="18" t="s">
        <v>2030</v>
      </c>
      <c r="D24" s="18" t="s">
        <v>4384</v>
      </c>
      <c r="E24" s="18" t="s">
        <v>4385</v>
      </c>
      <c r="F24" s="18" t="s">
        <v>4386</v>
      </c>
      <c r="G24" s="18" t="s">
        <v>2057</v>
      </c>
      <c r="H24" s="18" t="s">
        <v>103</v>
      </c>
      <c r="I24" s="18" t="s">
        <v>14</v>
      </c>
    </row>
    <row r="25" customFormat="false" ht="23.85" hidden="false" customHeight="false" outlineLevel="0" collapsed="false">
      <c r="A25" s="17" t="s">
        <v>4387</v>
      </c>
      <c r="B25" s="17" t="s">
        <v>4327</v>
      </c>
      <c r="C25" s="17" t="s">
        <v>2030</v>
      </c>
      <c r="D25" s="17" t="s">
        <v>4388</v>
      </c>
      <c r="E25" s="17" t="s">
        <v>4389</v>
      </c>
      <c r="F25" s="17" t="s">
        <v>1947</v>
      </c>
      <c r="G25" s="17" t="s">
        <v>4330</v>
      </c>
      <c r="H25" s="17" t="s">
        <v>103</v>
      </c>
      <c r="I25" s="17" t="s">
        <v>14</v>
      </c>
    </row>
  </sheetData>
  <autoFilter ref="A4:I25"/>
  <mergeCells count="2">
    <mergeCell ref="A1:I1"/>
    <mergeCell ref="A2:I2"/>
  </mergeCells>
  <conditionalFormatting sqref="C5:C25">
    <cfRule type="expression" priority="2" aboveAverage="0" equalAverage="0" bottom="0" percent="0" rank="0" text="" dxfId="20">
      <formula>EXACT($C5,"MVP")</formula>
    </cfRule>
    <cfRule type="expression" priority="3" aboveAverage="0" equalAverage="0" bottom="0" percent="0" rank="0" text="" dxfId="22">
      <formula>EXACT($C5,"FUTURE")</formula>
    </cfRule>
    <cfRule type="expression" priority="4" aboveAverage="0" equalAverage="0" bottom="0" percent="0" rank="0" text="" dxfId="21">
      <formula>EXACT($C5,"DEFERRED")</formula>
    </cfRule>
  </conditionalFormatting>
  <conditionalFormatting sqref="H5:H25">
    <cfRule type="expression" priority="5" aboveAverage="0" equalAverage="0" bottom="0" percent="0" rank="0" text="" dxfId="16">
      <formula>EXACT($H5,"NOT STARTED")</formula>
    </cfRule>
    <cfRule type="expression" priority="6" aboveAverage="0" equalAverage="0" bottom="0" percent="0" rank="0" text="" dxfId="17">
      <formula>EXACT($H5,"IN PROGRESS")</formula>
    </cfRule>
    <cfRule type="expression" priority="7" aboveAverage="0" equalAverage="0" bottom="0" percent="0" rank="0" text="" dxfId="18">
      <formula>EXACT($H5,"BLOCKED")</formula>
    </cfRule>
    <cfRule type="expression" priority="8" aboveAverage="0" equalAverage="0" bottom="0" percent="0" rank="0" text="" dxfId="19">
      <formula>EXACT($H5,"REVIEW")</formula>
    </cfRule>
    <cfRule type="expression" priority="9" aboveAverage="0" equalAverage="0" bottom="0" percent="0" rank="0" text="" dxfId="20">
      <formula>EXACT($H5,"DONE")</formula>
    </cfRule>
    <cfRule type="expression" priority="10" aboveAverage="0" equalAverage="0" bottom="0" percent="0" rank="0" text="" dxfId="21">
      <formula>EXACT($H5,"DEFERRED")</formula>
    </cfRule>
  </conditionalFormatting>
  <conditionalFormatting sqref="I5:I25">
    <cfRule type="expression" priority="11" aboveAverage="0" equalAverage="0" bottom="0" percent="0" rank="0" text="" dxfId="20">
      <formula>EXACT($I5,"OBSERVED FROM RESEARCH")</formula>
    </cfRule>
    <cfRule type="expression" priority="12" aboveAverage="0" equalAverage="0" bottom="0" percent="0" rank="0" text="" dxfId="19">
      <formula>EXACT($I5,"PROPOSED")</formula>
    </cfRule>
    <cfRule type="expression" priority="13" aboveAverage="0" equalAverage="0" bottom="0" percent="0" rank="0" text="" dxfId="23">
      <formula>EXACT($I5,"DECISION REQUIRED")</formula>
    </cfRule>
    <cfRule type="expression" priority="14" aboveAverage="0" equalAverage="0" bottom="0" percent="0" rank="0" text="" dxfId="24">
      <formula>EXACT($I5,"USER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H5:H25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56"/>
  </cols>
  <sheetData>
    <row r="1" customFormat="false" ht="21.75" hidden="false" customHeight="true" outlineLevel="0" collapsed="false">
      <c r="A1" s="19" t="s">
        <v>4390</v>
      </c>
      <c r="B1" s="19"/>
      <c r="C1" s="19"/>
      <c r="D1" s="19"/>
      <c r="E1" s="19"/>
      <c r="F1" s="19"/>
    </row>
    <row r="2" customFormat="false" ht="27.75" hidden="false" customHeight="true" outlineLevel="0" collapsed="false">
      <c r="A2" s="11" t="s">
        <v>4391</v>
      </c>
      <c r="B2" s="11"/>
      <c r="C2" s="11"/>
      <c r="D2" s="11"/>
      <c r="E2" s="11"/>
      <c r="F2" s="11"/>
    </row>
    <row r="4" customFormat="false" ht="33.75" hidden="false" customHeight="true" outlineLevel="0" collapsed="false">
      <c r="A4" s="16" t="s">
        <v>1938</v>
      </c>
      <c r="B4" s="16" t="s">
        <v>3265</v>
      </c>
      <c r="C4" s="16" t="s">
        <v>4392</v>
      </c>
      <c r="D4" s="16" t="s">
        <v>122</v>
      </c>
      <c r="E4" s="16" t="s">
        <v>123</v>
      </c>
      <c r="F4" s="16" t="s">
        <v>127</v>
      </c>
    </row>
    <row r="5" customFormat="false" ht="15" hidden="false" customHeight="false" outlineLevel="0" collapsed="false">
      <c r="A5" s="17" t="s">
        <v>4393</v>
      </c>
      <c r="B5" s="17" t="s">
        <v>4394</v>
      </c>
      <c r="C5" s="17" t="s">
        <v>4395</v>
      </c>
      <c r="D5" s="17" t="s">
        <v>103</v>
      </c>
      <c r="E5" s="17" t="s">
        <v>137</v>
      </c>
      <c r="F5" s="17"/>
    </row>
    <row r="6" customFormat="false" ht="15" hidden="false" customHeight="false" outlineLevel="0" collapsed="false">
      <c r="A6" s="18" t="s">
        <v>4393</v>
      </c>
      <c r="B6" s="18" t="s">
        <v>4396</v>
      </c>
      <c r="C6" s="18" t="s">
        <v>4397</v>
      </c>
      <c r="D6" s="18" t="s">
        <v>103</v>
      </c>
      <c r="E6" s="18" t="s">
        <v>137</v>
      </c>
      <c r="F6" s="18"/>
    </row>
    <row r="7" customFormat="false" ht="15" hidden="false" customHeight="false" outlineLevel="0" collapsed="false">
      <c r="A7" s="17" t="s">
        <v>4393</v>
      </c>
      <c r="B7" s="17" t="s">
        <v>4398</v>
      </c>
      <c r="C7" s="17" t="s">
        <v>4399</v>
      </c>
      <c r="D7" s="17" t="s">
        <v>103</v>
      </c>
      <c r="E7" s="17" t="s">
        <v>137</v>
      </c>
      <c r="F7" s="17"/>
    </row>
    <row r="8" customFormat="false" ht="15" hidden="false" customHeight="false" outlineLevel="0" collapsed="false">
      <c r="A8" s="18" t="s">
        <v>4393</v>
      </c>
      <c r="B8" s="18" t="s">
        <v>4400</v>
      </c>
      <c r="C8" s="18" t="s">
        <v>4401</v>
      </c>
      <c r="D8" s="18" t="s">
        <v>103</v>
      </c>
      <c r="E8" s="18" t="s">
        <v>137</v>
      </c>
      <c r="F8" s="18" t="s">
        <v>4402</v>
      </c>
    </row>
    <row r="9" customFormat="false" ht="15" hidden="false" customHeight="false" outlineLevel="0" collapsed="false">
      <c r="A9" s="17" t="s">
        <v>4403</v>
      </c>
      <c r="B9" s="17" t="s">
        <v>4404</v>
      </c>
      <c r="C9" s="17" t="s">
        <v>4405</v>
      </c>
      <c r="D9" s="17" t="s">
        <v>103</v>
      </c>
      <c r="E9" s="17" t="s">
        <v>137</v>
      </c>
      <c r="F9" s="17"/>
    </row>
    <row r="10" customFormat="false" ht="15" hidden="false" customHeight="false" outlineLevel="0" collapsed="false">
      <c r="A10" s="18" t="s">
        <v>4403</v>
      </c>
      <c r="B10" s="18" t="s">
        <v>4406</v>
      </c>
      <c r="C10" s="18" t="s">
        <v>4407</v>
      </c>
      <c r="D10" s="18" t="s">
        <v>103</v>
      </c>
      <c r="E10" s="18" t="s">
        <v>137</v>
      </c>
      <c r="F10" s="18"/>
    </row>
    <row r="11" customFormat="false" ht="15" hidden="false" customHeight="false" outlineLevel="0" collapsed="false">
      <c r="A11" s="17" t="s">
        <v>4403</v>
      </c>
      <c r="B11" s="17" t="s">
        <v>4408</v>
      </c>
      <c r="C11" s="17" t="s">
        <v>4409</v>
      </c>
      <c r="D11" s="17" t="s">
        <v>103</v>
      </c>
      <c r="E11" s="17" t="s">
        <v>137</v>
      </c>
      <c r="F11" s="17"/>
    </row>
    <row r="12" customFormat="false" ht="15" hidden="false" customHeight="false" outlineLevel="0" collapsed="false">
      <c r="A12" s="18" t="s">
        <v>4403</v>
      </c>
      <c r="B12" s="18" t="s">
        <v>4410</v>
      </c>
      <c r="C12" s="18" t="s">
        <v>4411</v>
      </c>
      <c r="D12" s="18" t="s">
        <v>103</v>
      </c>
      <c r="E12" s="18" t="s">
        <v>137</v>
      </c>
      <c r="F12" s="18"/>
    </row>
    <row r="13" customFormat="false" ht="15" hidden="false" customHeight="false" outlineLevel="0" collapsed="false">
      <c r="A13" s="17" t="s">
        <v>4403</v>
      </c>
      <c r="B13" s="17" t="s">
        <v>4412</v>
      </c>
      <c r="C13" s="17" t="s">
        <v>4413</v>
      </c>
      <c r="D13" s="17" t="s">
        <v>103</v>
      </c>
      <c r="E13" s="17" t="s">
        <v>137</v>
      </c>
      <c r="F13" s="17" t="s">
        <v>4414</v>
      </c>
    </row>
    <row r="14" customFormat="false" ht="15" hidden="false" customHeight="false" outlineLevel="0" collapsed="false">
      <c r="A14" s="18" t="s">
        <v>2099</v>
      </c>
      <c r="B14" s="18" t="s">
        <v>4415</v>
      </c>
      <c r="C14" s="18" t="s">
        <v>4416</v>
      </c>
      <c r="D14" s="18" t="s">
        <v>103</v>
      </c>
      <c r="E14" s="18" t="s">
        <v>137</v>
      </c>
      <c r="F14" s="18"/>
    </row>
    <row r="15" customFormat="false" ht="15" hidden="false" customHeight="false" outlineLevel="0" collapsed="false">
      <c r="A15" s="17" t="s">
        <v>2099</v>
      </c>
      <c r="B15" s="17" t="s">
        <v>4417</v>
      </c>
      <c r="C15" s="17" t="s">
        <v>4418</v>
      </c>
      <c r="D15" s="17" t="s">
        <v>103</v>
      </c>
      <c r="E15" s="17" t="s">
        <v>137</v>
      </c>
      <c r="F15" s="17"/>
    </row>
    <row r="16" customFormat="false" ht="15" hidden="false" customHeight="false" outlineLevel="0" collapsed="false">
      <c r="A16" s="18" t="s">
        <v>2099</v>
      </c>
      <c r="B16" s="18" t="s">
        <v>4419</v>
      </c>
      <c r="C16" s="18" t="s">
        <v>4420</v>
      </c>
      <c r="D16" s="18" t="s">
        <v>103</v>
      </c>
      <c r="E16" s="18" t="s">
        <v>137</v>
      </c>
      <c r="F16" s="18"/>
    </row>
    <row r="17" customFormat="false" ht="15" hidden="false" customHeight="false" outlineLevel="0" collapsed="false">
      <c r="A17" s="17" t="s">
        <v>2099</v>
      </c>
      <c r="B17" s="17" t="s">
        <v>4421</v>
      </c>
      <c r="C17" s="17" t="s">
        <v>4422</v>
      </c>
      <c r="D17" s="17" t="s">
        <v>103</v>
      </c>
      <c r="E17" s="17" t="s">
        <v>137</v>
      </c>
      <c r="F17" s="17" t="s">
        <v>4423</v>
      </c>
    </row>
    <row r="18" customFormat="false" ht="15" hidden="false" customHeight="false" outlineLevel="0" collapsed="false">
      <c r="A18" s="18" t="s">
        <v>2098</v>
      </c>
      <c r="B18" s="18" t="s">
        <v>4424</v>
      </c>
      <c r="C18" s="18" t="s">
        <v>4425</v>
      </c>
      <c r="D18" s="18" t="s">
        <v>103</v>
      </c>
      <c r="E18" s="18" t="s">
        <v>137</v>
      </c>
      <c r="F18" s="18"/>
    </row>
    <row r="19" customFormat="false" ht="15" hidden="false" customHeight="false" outlineLevel="0" collapsed="false">
      <c r="A19" s="17" t="s">
        <v>2098</v>
      </c>
      <c r="B19" s="17" t="s">
        <v>4426</v>
      </c>
      <c r="C19" s="17" t="s">
        <v>4427</v>
      </c>
      <c r="D19" s="17" t="s">
        <v>103</v>
      </c>
      <c r="E19" s="17" t="s">
        <v>137</v>
      </c>
      <c r="F19" s="17"/>
    </row>
    <row r="20" customFormat="false" ht="15" hidden="false" customHeight="false" outlineLevel="0" collapsed="false">
      <c r="A20" s="18" t="s">
        <v>2098</v>
      </c>
      <c r="B20" s="18" t="s">
        <v>4428</v>
      </c>
      <c r="C20" s="18" t="s">
        <v>4429</v>
      </c>
      <c r="D20" s="18" t="s">
        <v>103</v>
      </c>
      <c r="E20" s="18" t="s">
        <v>137</v>
      </c>
      <c r="F20" s="18"/>
    </row>
    <row r="21" customFormat="false" ht="15" hidden="false" customHeight="false" outlineLevel="0" collapsed="false">
      <c r="A21" s="17" t="s">
        <v>2098</v>
      </c>
      <c r="B21" s="17" t="s">
        <v>4430</v>
      </c>
      <c r="C21" s="17" t="s">
        <v>4431</v>
      </c>
      <c r="D21" s="17" t="s">
        <v>103</v>
      </c>
      <c r="E21" s="17" t="s">
        <v>137</v>
      </c>
      <c r="F21" s="17"/>
    </row>
    <row r="22" customFormat="false" ht="15" hidden="false" customHeight="false" outlineLevel="0" collapsed="false">
      <c r="A22" s="18" t="s">
        <v>1981</v>
      </c>
      <c r="B22" s="18" t="s">
        <v>4432</v>
      </c>
      <c r="C22" s="18" t="s">
        <v>4433</v>
      </c>
      <c r="D22" s="18" t="s">
        <v>103</v>
      </c>
      <c r="E22" s="18" t="s">
        <v>137</v>
      </c>
      <c r="F22" s="18"/>
    </row>
    <row r="23" customFormat="false" ht="15" hidden="false" customHeight="false" outlineLevel="0" collapsed="false">
      <c r="A23" s="17" t="s">
        <v>1981</v>
      </c>
      <c r="B23" s="17" t="s">
        <v>4434</v>
      </c>
      <c r="C23" s="17" t="s">
        <v>4435</v>
      </c>
      <c r="D23" s="17" t="s">
        <v>103</v>
      </c>
      <c r="E23" s="17" t="s">
        <v>137</v>
      </c>
      <c r="F23" s="17"/>
    </row>
    <row r="24" customFormat="false" ht="15" hidden="false" customHeight="false" outlineLevel="0" collapsed="false">
      <c r="A24" s="18" t="s">
        <v>1981</v>
      </c>
      <c r="B24" s="18" t="s">
        <v>4436</v>
      </c>
      <c r="C24" s="18" t="s">
        <v>4437</v>
      </c>
      <c r="D24" s="18" t="s">
        <v>103</v>
      </c>
      <c r="E24" s="18" t="s">
        <v>137</v>
      </c>
      <c r="F24" s="18"/>
    </row>
    <row r="25" customFormat="false" ht="15" hidden="false" customHeight="false" outlineLevel="0" collapsed="false">
      <c r="A25" s="17" t="s">
        <v>1984</v>
      </c>
      <c r="B25" s="17" t="s">
        <v>4438</v>
      </c>
      <c r="C25" s="17" t="s">
        <v>4439</v>
      </c>
      <c r="D25" s="17" t="s">
        <v>103</v>
      </c>
      <c r="E25" s="17" t="s">
        <v>137</v>
      </c>
      <c r="F25" s="17" t="s">
        <v>4440</v>
      </c>
    </row>
    <row r="26" customFormat="false" ht="15" hidden="false" customHeight="false" outlineLevel="0" collapsed="false">
      <c r="A26" s="18" t="s">
        <v>1984</v>
      </c>
      <c r="B26" s="18" t="s">
        <v>4441</v>
      </c>
      <c r="C26" s="18" t="s">
        <v>4442</v>
      </c>
      <c r="D26" s="18" t="s">
        <v>103</v>
      </c>
      <c r="E26" s="18" t="s">
        <v>137</v>
      </c>
      <c r="F26" s="18"/>
    </row>
    <row r="27" customFormat="false" ht="15" hidden="false" customHeight="false" outlineLevel="0" collapsed="false">
      <c r="A27" s="17" t="s">
        <v>1984</v>
      </c>
      <c r="B27" s="17" t="s">
        <v>4443</v>
      </c>
      <c r="C27" s="17" t="s">
        <v>4444</v>
      </c>
      <c r="D27" s="17" t="s">
        <v>103</v>
      </c>
      <c r="E27" s="17" t="s">
        <v>137</v>
      </c>
      <c r="F27" s="17"/>
    </row>
    <row r="28" customFormat="false" ht="15" hidden="false" customHeight="false" outlineLevel="0" collapsed="false">
      <c r="A28" s="18" t="s">
        <v>1943</v>
      </c>
      <c r="B28" s="18" t="s">
        <v>4445</v>
      </c>
      <c r="C28" s="18" t="s">
        <v>4446</v>
      </c>
      <c r="D28" s="18" t="s">
        <v>103</v>
      </c>
      <c r="E28" s="18" t="s">
        <v>137</v>
      </c>
      <c r="F28" s="18"/>
    </row>
    <row r="29" customFormat="false" ht="15" hidden="false" customHeight="false" outlineLevel="0" collapsed="false">
      <c r="A29" s="17" t="s">
        <v>1943</v>
      </c>
      <c r="B29" s="17" t="s">
        <v>4447</v>
      </c>
      <c r="C29" s="17" t="s">
        <v>4448</v>
      </c>
      <c r="D29" s="17" t="s">
        <v>103</v>
      </c>
      <c r="E29" s="17" t="s">
        <v>137</v>
      </c>
      <c r="F29" s="17"/>
    </row>
    <row r="30" customFormat="false" ht="15" hidden="false" customHeight="false" outlineLevel="0" collapsed="false">
      <c r="A30" s="18" t="s">
        <v>1943</v>
      </c>
      <c r="B30" s="18" t="s">
        <v>842</v>
      </c>
      <c r="C30" s="18" t="s">
        <v>4449</v>
      </c>
      <c r="D30" s="18" t="s">
        <v>103</v>
      </c>
      <c r="E30" s="18" t="s">
        <v>137</v>
      </c>
      <c r="F30" s="18" t="s">
        <v>4450</v>
      </c>
    </row>
    <row r="31" customFormat="false" ht="15" hidden="false" customHeight="false" outlineLevel="0" collapsed="false">
      <c r="A31" s="17" t="s">
        <v>1943</v>
      </c>
      <c r="B31" s="17" t="s">
        <v>4451</v>
      </c>
      <c r="C31" s="17" t="s">
        <v>4452</v>
      </c>
      <c r="D31" s="17" t="s">
        <v>103</v>
      </c>
      <c r="E31" s="17" t="s">
        <v>137</v>
      </c>
      <c r="F31" s="17"/>
    </row>
    <row r="32" customFormat="false" ht="15" hidden="false" customHeight="false" outlineLevel="0" collapsed="false">
      <c r="A32" s="18" t="s">
        <v>1943</v>
      </c>
      <c r="B32" s="18" t="s">
        <v>4453</v>
      </c>
      <c r="C32" s="18" t="s">
        <v>4454</v>
      </c>
      <c r="D32" s="18" t="s">
        <v>103</v>
      </c>
      <c r="E32" s="18" t="s">
        <v>137</v>
      </c>
      <c r="F32" s="18"/>
    </row>
    <row r="33" customFormat="false" ht="15" hidden="false" customHeight="false" outlineLevel="0" collapsed="false">
      <c r="A33" s="17" t="s">
        <v>3863</v>
      </c>
      <c r="B33" s="17" t="s">
        <v>4455</v>
      </c>
      <c r="C33" s="17" t="s">
        <v>4456</v>
      </c>
      <c r="D33" s="17" t="s">
        <v>103</v>
      </c>
      <c r="E33" s="17" t="s">
        <v>137</v>
      </c>
      <c r="F33" s="17"/>
    </row>
    <row r="34" customFormat="false" ht="15" hidden="false" customHeight="false" outlineLevel="0" collapsed="false">
      <c r="A34" s="18" t="s">
        <v>3863</v>
      </c>
      <c r="B34" s="18" t="s">
        <v>4457</v>
      </c>
      <c r="C34" s="18" t="s">
        <v>4458</v>
      </c>
      <c r="D34" s="18" t="s">
        <v>103</v>
      </c>
      <c r="E34" s="18" t="s">
        <v>137</v>
      </c>
      <c r="F34" s="18"/>
    </row>
    <row r="35" customFormat="false" ht="15" hidden="false" customHeight="false" outlineLevel="0" collapsed="false">
      <c r="A35" s="17" t="s">
        <v>3863</v>
      </c>
      <c r="B35" s="17" t="s">
        <v>4459</v>
      </c>
      <c r="C35" s="17" t="s">
        <v>4460</v>
      </c>
      <c r="D35" s="17" t="s">
        <v>103</v>
      </c>
      <c r="E35" s="17" t="s">
        <v>137</v>
      </c>
      <c r="F35" s="17"/>
    </row>
    <row r="36" customFormat="false" ht="15" hidden="false" customHeight="false" outlineLevel="0" collapsed="false">
      <c r="A36" s="18" t="s">
        <v>3863</v>
      </c>
      <c r="B36" s="18" t="s">
        <v>4461</v>
      </c>
      <c r="C36" s="18" t="s">
        <v>4462</v>
      </c>
      <c r="D36" s="18" t="s">
        <v>103</v>
      </c>
      <c r="E36" s="18" t="s">
        <v>137</v>
      </c>
      <c r="F36" s="18"/>
    </row>
    <row r="37" customFormat="false" ht="15" hidden="false" customHeight="false" outlineLevel="0" collapsed="false">
      <c r="A37" s="17" t="s">
        <v>1973</v>
      </c>
      <c r="B37" s="17" t="s">
        <v>4463</v>
      </c>
      <c r="C37" s="17" t="s">
        <v>3892</v>
      </c>
      <c r="D37" s="17" t="s">
        <v>103</v>
      </c>
      <c r="E37" s="17" t="s">
        <v>137</v>
      </c>
      <c r="F37" s="17"/>
    </row>
    <row r="38" customFormat="false" ht="15" hidden="false" customHeight="false" outlineLevel="0" collapsed="false">
      <c r="A38" s="18" t="s">
        <v>1973</v>
      </c>
      <c r="B38" s="18" t="s">
        <v>4464</v>
      </c>
      <c r="C38" s="18" t="s">
        <v>4465</v>
      </c>
      <c r="D38" s="18" t="s">
        <v>103</v>
      </c>
      <c r="E38" s="18" t="s">
        <v>137</v>
      </c>
      <c r="F38" s="18"/>
    </row>
    <row r="39" customFormat="false" ht="15" hidden="false" customHeight="false" outlineLevel="0" collapsed="false">
      <c r="A39" s="17" t="s">
        <v>1973</v>
      </c>
      <c r="B39" s="17" t="s">
        <v>4466</v>
      </c>
      <c r="C39" s="17" t="s">
        <v>4467</v>
      </c>
      <c r="D39" s="17" t="s">
        <v>103</v>
      </c>
      <c r="E39" s="17" t="s">
        <v>137</v>
      </c>
      <c r="F39" s="17"/>
    </row>
    <row r="40" customFormat="false" ht="15" hidden="false" customHeight="false" outlineLevel="0" collapsed="false">
      <c r="A40" s="18" t="s">
        <v>1973</v>
      </c>
      <c r="B40" s="18" t="s">
        <v>4468</v>
      </c>
      <c r="C40" s="18" t="s">
        <v>4469</v>
      </c>
      <c r="D40" s="18" t="s">
        <v>103</v>
      </c>
      <c r="E40" s="18" t="s">
        <v>137</v>
      </c>
      <c r="F40" s="18"/>
    </row>
    <row r="41" customFormat="false" ht="15" hidden="false" customHeight="false" outlineLevel="0" collapsed="false">
      <c r="A41" s="17" t="s">
        <v>2015</v>
      </c>
      <c r="B41" s="17" t="s">
        <v>4470</v>
      </c>
      <c r="C41" s="17" t="s">
        <v>4471</v>
      </c>
      <c r="D41" s="17" t="s">
        <v>103</v>
      </c>
      <c r="E41" s="17" t="s">
        <v>137</v>
      </c>
      <c r="F41" s="17"/>
    </row>
    <row r="42" customFormat="false" ht="15" hidden="false" customHeight="false" outlineLevel="0" collapsed="false">
      <c r="A42" s="18" t="s">
        <v>2015</v>
      </c>
      <c r="B42" s="18" t="s">
        <v>4472</v>
      </c>
      <c r="C42" s="18" t="s">
        <v>4473</v>
      </c>
      <c r="D42" s="18" t="s">
        <v>103</v>
      </c>
      <c r="E42" s="18" t="s">
        <v>137</v>
      </c>
      <c r="F42" s="18"/>
    </row>
    <row r="43" customFormat="false" ht="15" hidden="false" customHeight="false" outlineLevel="0" collapsed="false">
      <c r="A43" s="17" t="s">
        <v>2015</v>
      </c>
      <c r="B43" s="17" t="s">
        <v>4474</v>
      </c>
      <c r="C43" s="17" t="s">
        <v>4475</v>
      </c>
      <c r="D43" s="17" t="s">
        <v>103</v>
      </c>
      <c r="E43" s="17" t="s">
        <v>137</v>
      </c>
      <c r="F43" s="17"/>
    </row>
    <row r="44" customFormat="false" ht="15" hidden="false" customHeight="false" outlineLevel="0" collapsed="false">
      <c r="A44" s="18" t="s">
        <v>2015</v>
      </c>
      <c r="B44" s="18" t="s">
        <v>4476</v>
      </c>
      <c r="C44" s="18" t="s">
        <v>4477</v>
      </c>
      <c r="D44" s="18" t="s">
        <v>103</v>
      </c>
      <c r="E44" s="18" t="s">
        <v>137</v>
      </c>
      <c r="F44" s="18" t="s">
        <v>4478</v>
      </c>
    </row>
    <row r="45" customFormat="false" ht="15" hidden="false" customHeight="false" outlineLevel="0" collapsed="false">
      <c r="A45" s="17" t="s">
        <v>1962</v>
      </c>
      <c r="B45" s="17" t="s">
        <v>4479</v>
      </c>
      <c r="C45" s="17" t="s">
        <v>4480</v>
      </c>
      <c r="D45" s="17" t="s">
        <v>103</v>
      </c>
      <c r="E45" s="17" t="s">
        <v>137</v>
      </c>
      <c r="F45" s="17" t="s">
        <v>4481</v>
      </c>
    </row>
    <row r="46" customFormat="false" ht="15" hidden="false" customHeight="false" outlineLevel="0" collapsed="false">
      <c r="A46" s="18" t="s">
        <v>1962</v>
      </c>
      <c r="B46" s="18" t="s">
        <v>1226</v>
      </c>
      <c r="C46" s="18" t="s">
        <v>4482</v>
      </c>
      <c r="D46" s="18" t="s">
        <v>103</v>
      </c>
      <c r="E46" s="18" t="s">
        <v>137</v>
      </c>
      <c r="F46" s="18"/>
    </row>
    <row r="47" customFormat="false" ht="15" hidden="false" customHeight="false" outlineLevel="0" collapsed="false">
      <c r="A47" s="17" t="s">
        <v>1962</v>
      </c>
      <c r="B47" s="17" t="s">
        <v>4483</v>
      </c>
      <c r="C47" s="17" t="s">
        <v>4484</v>
      </c>
      <c r="D47" s="17" t="s">
        <v>103</v>
      </c>
      <c r="E47" s="17" t="s">
        <v>137</v>
      </c>
      <c r="F47" s="17"/>
    </row>
    <row r="48" customFormat="false" ht="15" hidden="false" customHeight="false" outlineLevel="0" collapsed="false">
      <c r="A48" s="18" t="s">
        <v>1962</v>
      </c>
      <c r="B48" s="18" t="s">
        <v>4485</v>
      </c>
      <c r="C48" s="18" t="s">
        <v>4486</v>
      </c>
      <c r="D48" s="18" t="s">
        <v>103</v>
      </c>
      <c r="E48" s="18" t="s">
        <v>137</v>
      </c>
      <c r="F48" s="18"/>
    </row>
    <row r="49" customFormat="false" ht="15" hidden="false" customHeight="false" outlineLevel="0" collapsed="false">
      <c r="A49" s="17" t="s">
        <v>1962</v>
      </c>
      <c r="B49" s="17" t="s">
        <v>4487</v>
      </c>
      <c r="C49" s="17" t="s">
        <v>4488</v>
      </c>
      <c r="D49" s="17" t="s">
        <v>103</v>
      </c>
      <c r="E49" s="17" t="s">
        <v>137</v>
      </c>
      <c r="F49" s="17"/>
    </row>
    <row r="50" customFormat="false" ht="15" hidden="false" customHeight="false" outlineLevel="0" collapsed="false">
      <c r="A50" s="18" t="s">
        <v>1962</v>
      </c>
      <c r="B50" s="18" t="s">
        <v>4489</v>
      </c>
      <c r="C50" s="18" t="s">
        <v>4490</v>
      </c>
      <c r="D50" s="18" t="s">
        <v>103</v>
      </c>
      <c r="E50" s="18" t="s">
        <v>137</v>
      </c>
      <c r="F50" s="18"/>
    </row>
    <row r="51" customFormat="false" ht="15" hidden="false" customHeight="false" outlineLevel="0" collapsed="false">
      <c r="A51" s="17" t="s">
        <v>1962</v>
      </c>
      <c r="B51" s="17" t="s">
        <v>1308</v>
      </c>
      <c r="C51" s="17" t="s">
        <v>4491</v>
      </c>
      <c r="D51" s="17" t="s">
        <v>103</v>
      </c>
      <c r="E51" s="17" t="s">
        <v>137</v>
      </c>
      <c r="F51" s="17"/>
    </row>
    <row r="52" customFormat="false" ht="15" hidden="false" customHeight="false" outlineLevel="0" collapsed="false">
      <c r="A52" s="18" t="s">
        <v>3899</v>
      </c>
      <c r="B52" s="18" t="s">
        <v>4492</v>
      </c>
      <c r="C52" s="18" t="s">
        <v>3964</v>
      </c>
      <c r="D52" s="18" t="s">
        <v>103</v>
      </c>
      <c r="E52" s="18" t="s">
        <v>137</v>
      </c>
      <c r="F52" s="18"/>
    </row>
    <row r="53" customFormat="false" ht="15" hidden="false" customHeight="false" outlineLevel="0" collapsed="false">
      <c r="A53" s="17" t="s">
        <v>3899</v>
      </c>
      <c r="B53" s="17" t="s">
        <v>4493</v>
      </c>
      <c r="C53" s="17" t="s">
        <v>4494</v>
      </c>
      <c r="D53" s="17" t="s">
        <v>103</v>
      </c>
      <c r="E53" s="17" t="s">
        <v>137</v>
      </c>
      <c r="F53" s="17"/>
    </row>
    <row r="54" customFormat="false" ht="15" hidden="false" customHeight="false" outlineLevel="0" collapsed="false">
      <c r="A54" s="18" t="s">
        <v>3899</v>
      </c>
      <c r="B54" s="18" t="s">
        <v>4495</v>
      </c>
      <c r="C54" s="18" t="s">
        <v>4496</v>
      </c>
      <c r="D54" s="18" t="s">
        <v>103</v>
      </c>
      <c r="E54" s="18" t="s">
        <v>137</v>
      </c>
      <c r="F54" s="18"/>
    </row>
    <row r="55" customFormat="false" ht="15" hidden="false" customHeight="false" outlineLevel="0" collapsed="false">
      <c r="A55" s="17" t="s">
        <v>3899</v>
      </c>
      <c r="B55" s="17" t="s">
        <v>4497</v>
      </c>
      <c r="C55" s="17" t="s">
        <v>4498</v>
      </c>
      <c r="D55" s="17" t="s">
        <v>103</v>
      </c>
      <c r="E55" s="17" t="s">
        <v>137</v>
      </c>
      <c r="F55" s="17"/>
    </row>
    <row r="56" customFormat="false" ht="15" hidden="false" customHeight="false" outlineLevel="0" collapsed="false">
      <c r="A56" s="18" t="s">
        <v>3899</v>
      </c>
      <c r="B56" s="18" t="s">
        <v>4499</v>
      </c>
      <c r="C56" s="18" t="s">
        <v>4500</v>
      </c>
      <c r="D56" s="18" t="s">
        <v>103</v>
      </c>
      <c r="E56" s="18" t="s">
        <v>137</v>
      </c>
      <c r="F56" s="18"/>
    </row>
    <row r="57" customFormat="false" ht="15" hidden="false" customHeight="false" outlineLevel="0" collapsed="false">
      <c r="A57" s="17" t="s">
        <v>2021</v>
      </c>
      <c r="B57" s="17" t="s">
        <v>4501</v>
      </c>
      <c r="C57" s="17" t="s">
        <v>4502</v>
      </c>
      <c r="D57" s="17" t="s">
        <v>103</v>
      </c>
      <c r="E57" s="17" t="s">
        <v>137</v>
      </c>
      <c r="F57" s="17"/>
    </row>
    <row r="58" customFormat="false" ht="15" hidden="false" customHeight="false" outlineLevel="0" collapsed="false">
      <c r="A58" s="18" t="s">
        <v>2021</v>
      </c>
      <c r="B58" s="18" t="s">
        <v>4503</v>
      </c>
      <c r="C58" s="18" t="s">
        <v>4504</v>
      </c>
      <c r="D58" s="18" t="s">
        <v>103</v>
      </c>
      <c r="E58" s="18" t="s">
        <v>137</v>
      </c>
      <c r="F58" s="18"/>
    </row>
    <row r="59" customFormat="false" ht="15" hidden="false" customHeight="false" outlineLevel="0" collapsed="false">
      <c r="A59" s="17" t="s">
        <v>2021</v>
      </c>
      <c r="B59" s="17" t="s">
        <v>4505</v>
      </c>
      <c r="C59" s="17" t="s">
        <v>4506</v>
      </c>
      <c r="D59" s="17" t="s">
        <v>103</v>
      </c>
      <c r="E59" s="17" t="s">
        <v>137</v>
      </c>
      <c r="F59" s="17"/>
    </row>
    <row r="60" customFormat="false" ht="15" hidden="false" customHeight="false" outlineLevel="0" collapsed="false">
      <c r="A60" s="18" t="s">
        <v>2018</v>
      </c>
      <c r="B60" s="18" t="s">
        <v>4507</v>
      </c>
      <c r="C60" s="18" t="s">
        <v>4508</v>
      </c>
      <c r="D60" s="18" t="s">
        <v>103</v>
      </c>
      <c r="E60" s="18" t="s">
        <v>137</v>
      </c>
      <c r="F60" s="18"/>
    </row>
    <row r="61" customFormat="false" ht="15" hidden="false" customHeight="false" outlineLevel="0" collapsed="false">
      <c r="A61" s="17" t="s">
        <v>2018</v>
      </c>
      <c r="B61" s="17" t="s">
        <v>4509</v>
      </c>
      <c r="C61" s="17" t="s">
        <v>4510</v>
      </c>
      <c r="D61" s="17" t="s">
        <v>103</v>
      </c>
      <c r="E61" s="17" t="s">
        <v>137</v>
      </c>
      <c r="F61" s="17"/>
    </row>
    <row r="62" customFormat="false" ht="15" hidden="false" customHeight="false" outlineLevel="0" collapsed="false">
      <c r="A62" s="18" t="s">
        <v>2018</v>
      </c>
      <c r="B62" s="18" t="s">
        <v>4511</v>
      </c>
      <c r="C62" s="18" t="s">
        <v>4512</v>
      </c>
      <c r="D62" s="18" t="s">
        <v>103</v>
      </c>
      <c r="E62" s="18" t="s">
        <v>137</v>
      </c>
      <c r="F62" s="18"/>
    </row>
    <row r="63" customFormat="false" ht="15" hidden="false" customHeight="false" outlineLevel="0" collapsed="false">
      <c r="A63" s="17" t="s">
        <v>2186</v>
      </c>
      <c r="B63" s="17" t="s">
        <v>4513</v>
      </c>
      <c r="C63" s="17" t="s">
        <v>1668</v>
      </c>
      <c r="D63" s="17" t="s">
        <v>103</v>
      </c>
      <c r="E63" s="17" t="s">
        <v>137</v>
      </c>
      <c r="F63" s="17"/>
    </row>
    <row r="64" customFormat="false" ht="15" hidden="false" customHeight="false" outlineLevel="0" collapsed="false">
      <c r="A64" s="18" t="s">
        <v>2186</v>
      </c>
      <c r="B64" s="18" t="s">
        <v>4514</v>
      </c>
      <c r="C64" s="18" t="s">
        <v>4515</v>
      </c>
      <c r="D64" s="18" t="s">
        <v>103</v>
      </c>
      <c r="E64" s="18" t="s">
        <v>137</v>
      </c>
      <c r="F64" s="18"/>
    </row>
    <row r="65" customFormat="false" ht="15" hidden="false" customHeight="false" outlineLevel="0" collapsed="false">
      <c r="A65" s="17" t="s">
        <v>2186</v>
      </c>
      <c r="B65" s="17" t="s">
        <v>4516</v>
      </c>
      <c r="C65" s="17" t="s">
        <v>4517</v>
      </c>
      <c r="D65" s="17" t="s">
        <v>103</v>
      </c>
      <c r="E65" s="17" t="s">
        <v>137</v>
      </c>
      <c r="F65" s="17" t="s">
        <v>4518</v>
      </c>
    </row>
    <row r="66" customFormat="false" ht="15" hidden="false" customHeight="false" outlineLevel="0" collapsed="false">
      <c r="A66" s="18" t="s">
        <v>2186</v>
      </c>
      <c r="B66" s="18" t="s">
        <v>4519</v>
      </c>
      <c r="C66" s="18" t="s">
        <v>4520</v>
      </c>
      <c r="D66" s="18" t="s">
        <v>103</v>
      </c>
      <c r="E66" s="18" t="s">
        <v>137</v>
      </c>
      <c r="F66" s="18"/>
    </row>
    <row r="67" customFormat="false" ht="15" hidden="false" customHeight="false" outlineLevel="0" collapsed="false">
      <c r="A67" s="17" t="s">
        <v>2186</v>
      </c>
      <c r="B67" s="17" t="s">
        <v>4521</v>
      </c>
      <c r="C67" s="17" t="s">
        <v>4522</v>
      </c>
      <c r="D67" s="17" t="s">
        <v>103</v>
      </c>
      <c r="E67" s="17" t="s">
        <v>137</v>
      </c>
      <c r="F67" s="17"/>
    </row>
    <row r="68" customFormat="false" ht="15" hidden="false" customHeight="false" outlineLevel="0" collapsed="false">
      <c r="A68" s="18" t="s">
        <v>4164</v>
      </c>
      <c r="B68" s="18" t="s">
        <v>4523</v>
      </c>
      <c r="C68" s="18" t="s">
        <v>4524</v>
      </c>
      <c r="D68" s="18" t="s">
        <v>103</v>
      </c>
      <c r="E68" s="18" t="s">
        <v>137</v>
      </c>
      <c r="F68" s="18"/>
    </row>
    <row r="69" customFormat="false" ht="15" hidden="false" customHeight="false" outlineLevel="0" collapsed="false">
      <c r="A69" s="17" t="s">
        <v>4164</v>
      </c>
      <c r="B69" s="17" t="s">
        <v>4525</v>
      </c>
      <c r="C69" s="17" t="s">
        <v>4526</v>
      </c>
      <c r="D69" s="17" t="s">
        <v>103</v>
      </c>
      <c r="E69" s="17" t="s">
        <v>137</v>
      </c>
      <c r="F69" s="17"/>
    </row>
    <row r="70" customFormat="false" ht="15" hidden="false" customHeight="false" outlineLevel="0" collapsed="false">
      <c r="A70" s="18" t="s">
        <v>4178</v>
      </c>
      <c r="B70" s="18" t="s">
        <v>4527</v>
      </c>
      <c r="C70" s="18" t="s">
        <v>4528</v>
      </c>
      <c r="D70" s="18" t="s">
        <v>103</v>
      </c>
      <c r="E70" s="18" t="s">
        <v>137</v>
      </c>
      <c r="F70" s="18"/>
    </row>
    <row r="71" customFormat="false" ht="15" hidden="false" customHeight="false" outlineLevel="0" collapsed="false">
      <c r="A71" s="17" t="s">
        <v>4178</v>
      </c>
      <c r="B71" s="17" t="s">
        <v>1652</v>
      </c>
      <c r="C71" s="17" t="s">
        <v>4529</v>
      </c>
      <c r="D71" s="17" t="s">
        <v>103</v>
      </c>
      <c r="E71" s="17" t="s">
        <v>137</v>
      </c>
      <c r="F71" s="17"/>
    </row>
    <row r="72" customFormat="false" ht="15" hidden="false" customHeight="false" outlineLevel="0" collapsed="false">
      <c r="A72" s="18" t="s">
        <v>4178</v>
      </c>
      <c r="B72" s="18" t="s">
        <v>4530</v>
      </c>
      <c r="C72" s="18" t="s">
        <v>4531</v>
      </c>
      <c r="D72" s="18" t="s">
        <v>103</v>
      </c>
      <c r="E72" s="18" t="s">
        <v>137</v>
      </c>
      <c r="F72" s="18"/>
    </row>
    <row r="73" customFormat="false" ht="15" hidden="false" customHeight="false" outlineLevel="0" collapsed="false">
      <c r="A73" s="17" t="s">
        <v>4178</v>
      </c>
      <c r="B73" s="17" t="s">
        <v>4532</v>
      </c>
      <c r="C73" s="17" t="s">
        <v>4533</v>
      </c>
      <c r="D73" s="17" t="s">
        <v>103</v>
      </c>
      <c r="E73" s="17" t="s">
        <v>137</v>
      </c>
      <c r="F73" s="17"/>
    </row>
    <row r="74" customFormat="false" ht="15" hidden="false" customHeight="false" outlineLevel="0" collapsed="false">
      <c r="A74" s="18" t="s">
        <v>4534</v>
      </c>
      <c r="B74" s="18" t="s">
        <v>4535</v>
      </c>
      <c r="C74" s="18" t="s">
        <v>4536</v>
      </c>
      <c r="D74" s="18" t="s">
        <v>103</v>
      </c>
      <c r="E74" s="18" t="s">
        <v>137</v>
      </c>
      <c r="F74" s="18"/>
    </row>
    <row r="75" customFormat="false" ht="15" hidden="false" customHeight="false" outlineLevel="0" collapsed="false">
      <c r="A75" s="17" t="s">
        <v>4534</v>
      </c>
      <c r="B75" s="17" t="s">
        <v>4537</v>
      </c>
      <c r="C75" s="17" t="s">
        <v>4538</v>
      </c>
      <c r="D75" s="17" t="s">
        <v>103</v>
      </c>
      <c r="E75" s="17" t="s">
        <v>137</v>
      </c>
      <c r="F75" s="17"/>
    </row>
    <row r="76" customFormat="false" ht="15" hidden="false" customHeight="false" outlineLevel="0" collapsed="false">
      <c r="A76" s="18" t="s">
        <v>4534</v>
      </c>
      <c r="B76" s="18" t="s">
        <v>4539</v>
      </c>
      <c r="C76" s="18" t="s">
        <v>4540</v>
      </c>
      <c r="D76" s="18" t="s">
        <v>103</v>
      </c>
      <c r="E76" s="18" t="s">
        <v>137</v>
      </c>
      <c r="F76" s="18"/>
    </row>
    <row r="77" customFormat="false" ht="15" hidden="false" customHeight="false" outlineLevel="0" collapsed="false">
      <c r="A77" s="17" t="s">
        <v>4534</v>
      </c>
      <c r="B77" s="17" t="s">
        <v>4541</v>
      </c>
      <c r="C77" s="17" t="s">
        <v>4542</v>
      </c>
      <c r="D77" s="17" t="s">
        <v>103</v>
      </c>
      <c r="E77" s="17" t="s">
        <v>137</v>
      </c>
      <c r="F77" s="17"/>
    </row>
    <row r="78" customFormat="false" ht="15" hidden="false" customHeight="false" outlineLevel="0" collapsed="false">
      <c r="A78" s="18" t="s">
        <v>4543</v>
      </c>
      <c r="B78" s="18" t="s">
        <v>4544</v>
      </c>
      <c r="C78" s="18" t="s">
        <v>4545</v>
      </c>
      <c r="D78" s="18" t="s">
        <v>103</v>
      </c>
      <c r="E78" s="18" t="s">
        <v>137</v>
      </c>
      <c r="F78" s="18"/>
    </row>
    <row r="79" customFormat="false" ht="15" hidden="false" customHeight="false" outlineLevel="0" collapsed="false">
      <c r="A79" s="17" t="s">
        <v>4543</v>
      </c>
      <c r="B79" s="17" t="s">
        <v>4546</v>
      </c>
      <c r="C79" s="17" t="s">
        <v>4547</v>
      </c>
      <c r="D79" s="17" t="s">
        <v>103</v>
      </c>
      <c r="E79" s="17" t="s">
        <v>137</v>
      </c>
      <c r="F79" s="17"/>
    </row>
    <row r="80" customFormat="false" ht="15" hidden="false" customHeight="false" outlineLevel="0" collapsed="false">
      <c r="A80" s="18" t="s">
        <v>4543</v>
      </c>
      <c r="B80" s="18" t="s">
        <v>4548</v>
      </c>
      <c r="C80" s="18" t="s">
        <v>4549</v>
      </c>
      <c r="D80" s="18" t="s">
        <v>103</v>
      </c>
      <c r="E80" s="18" t="s">
        <v>137</v>
      </c>
      <c r="F80" s="18"/>
    </row>
  </sheetData>
  <autoFilter ref="A4:F80"/>
  <mergeCells count="2">
    <mergeCell ref="A1:F1"/>
    <mergeCell ref="A2:F2"/>
  </mergeCells>
  <conditionalFormatting sqref="D5:D80">
    <cfRule type="expression" priority="2" aboveAverage="0" equalAverage="0" bottom="0" percent="0" rank="0" text="" dxfId="16">
      <formula>EXACT($D5,"NOT STARTED")</formula>
    </cfRule>
    <cfRule type="expression" priority="3" aboveAverage="0" equalAverage="0" bottom="0" percent="0" rank="0" text="" dxfId="17">
      <formula>EXACT($D5,"IN PROGRESS")</formula>
    </cfRule>
    <cfRule type="expression" priority="4" aboveAverage="0" equalAverage="0" bottom="0" percent="0" rank="0" text="" dxfId="18">
      <formula>EXACT($D5,"BLOCKED")</formula>
    </cfRule>
    <cfRule type="expression" priority="5" aboveAverage="0" equalAverage="0" bottom="0" percent="0" rank="0" text="" dxfId="19">
      <formula>EXACT($D5,"REVIEW")</formula>
    </cfRule>
    <cfRule type="expression" priority="6" aboveAverage="0" equalAverage="0" bottom="0" percent="0" rank="0" text="" dxfId="20">
      <formula>EXACT($D5,"DONE")</formula>
    </cfRule>
    <cfRule type="expression" priority="7" aboveAverage="0" equalAverage="0" bottom="0" percent="0" rank="0" text="" dxfId="21">
      <formula>EXACT($D5,"DEFERRED")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D5:D80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7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19" t="s">
        <v>4550</v>
      </c>
      <c r="B1" s="19"/>
      <c r="C1" s="19"/>
      <c r="D1" s="19"/>
      <c r="E1" s="19"/>
      <c r="F1" s="19"/>
      <c r="G1" s="19"/>
      <c r="H1" s="19"/>
    </row>
    <row r="2" customFormat="false" ht="27.75" hidden="false" customHeight="true" outlineLevel="0" collapsed="false">
      <c r="A2" s="11" t="s">
        <v>4551</v>
      </c>
      <c r="B2" s="11"/>
      <c r="C2" s="11"/>
      <c r="D2" s="11"/>
      <c r="E2" s="11"/>
      <c r="F2" s="11"/>
      <c r="G2" s="11"/>
      <c r="H2" s="11"/>
    </row>
    <row r="4" customFormat="false" ht="33.75" hidden="false" customHeight="true" outlineLevel="0" collapsed="false">
      <c r="A4" s="16" t="s">
        <v>4552</v>
      </c>
      <c r="B4" s="16" t="s">
        <v>3265</v>
      </c>
      <c r="C4" s="16" t="s">
        <v>1938</v>
      </c>
      <c r="D4" s="16" t="s">
        <v>118</v>
      </c>
      <c r="E4" s="16" t="s">
        <v>4553</v>
      </c>
      <c r="F4" s="16" t="s">
        <v>121</v>
      </c>
      <c r="G4" s="16" t="s">
        <v>122</v>
      </c>
      <c r="H4" s="16" t="s">
        <v>128</v>
      </c>
    </row>
    <row r="5" customFormat="false" ht="23.85" hidden="false" customHeight="false" outlineLevel="0" collapsed="false">
      <c r="A5" s="17" t="s">
        <v>4554</v>
      </c>
      <c r="B5" s="17" t="s">
        <v>4555</v>
      </c>
      <c r="C5" s="17" t="s">
        <v>4556</v>
      </c>
      <c r="D5" s="17" t="s">
        <v>4557</v>
      </c>
      <c r="E5" s="17" t="s">
        <v>4558</v>
      </c>
      <c r="F5" s="17" t="s">
        <v>136</v>
      </c>
      <c r="G5" s="17" t="s">
        <v>103</v>
      </c>
      <c r="H5" s="17" t="s">
        <v>14</v>
      </c>
    </row>
    <row r="6" customFormat="false" ht="23.85" hidden="false" customHeight="false" outlineLevel="0" collapsed="false">
      <c r="A6" s="18" t="s">
        <v>4554</v>
      </c>
      <c r="B6" s="18" t="s">
        <v>4559</v>
      </c>
      <c r="C6" s="18" t="s">
        <v>2018</v>
      </c>
      <c r="D6" s="18" t="s">
        <v>4560</v>
      </c>
      <c r="E6" s="18" t="s">
        <v>4561</v>
      </c>
      <c r="F6" s="18" t="s">
        <v>136</v>
      </c>
      <c r="G6" s="18" t="s">
        <v>103</v>
      </c>
      <c r="H6" s="18" t="s">
        <v>14</v>
      </c>
    </row>
    <row r="7" customFormat="false" ht="23.85" hidden="false" customHeight="false" outlineLevel="0" collapsed="false">
      <c r="A7" s="17" t="s">
        <v>4554</v>
      </c>
      <c r="B7" s="17" t="s">
        <v>1752</v>
      </c>
      <c r="C7" s="17" t="s">
        <v>4562</v>
      </c>
      <c r="D7" s="17" t="s">
        <v>4563</v>
      </c>
      <c r="E7" s="17" t="s">
        <v>1754</v>
      </c>
      <c r="F7" s="17" t="s">
        <v>136</v>
      </c>
      <c r="G7" s="17" t="s">
        <v>103</v>
      </c>
      <c r="H7" s="17" t="s">
        <v>14</v>
      </c>
    </row>
    <row r="8" customFormat="false" ht="23.85" hidden="false" customHeight="false" outlineLevel="0" collapsed="false">
      <c r="A8" s="18" t="s">
        <v>4554</v>
      </c>
      <c r="B8" s="18" t="s">
        <v>4564</v>
      </c>
      <c r="C8" s="18" t="s">
        <v>1962</v>
      </c>
      <c r="D8" s="18" t="s">
        <v>4565</v>
      </c>
      <c r="E8" s="18" t="s">
        <v>4566</v>
      </c>
      <c r="F8" s="18" t="s">
        <v>172</v>
      </c>
      <c r="G8" s="18" t="s">
        <v>103</v>
      </c>
      <c r="H8" s="18" t="s">
        <v>14</v>
      </c>
    </row>
    <row r="9" customFormat="false" ht="23.85" hidden="false" customHeight="false" outlineLevel="0" collapsed="false">
      <c r="A9" s="17" t="s">
        <v>4554</v>
      </c>
      <c r="B9" s="17" t="s">
        <v>4567</v>
      </c>
      <c r="C9" s="17" t="s">
        <v>4568</v>
      </c>
      <c r="D9" s="17" t="s">
        <v>4569</v>
      </c>
      <c r="E9" s="17" t="s">
        <v>4570</v>
      </c>
      <c r="F9" s="17" t="s">
        <v>172</v>
      </c>
      <c r="G9" s="17" t="s">
        <v>103</v>
      </c>
      <c r="H9" s="17" t="s">
        <v>14</v>
      </c>
    </row>
    <row r="10" customFormat="false" ht="23.85" hidden="false" customHeight="false" outlineLevel="0" collapsed="false">
      <c r="A10" s="18" t="s">
        <v>4554</v>
      </c>
      <c r="B10" s="18" t="s">
        <v>4571</v>
      </c>
      <c r="C10" s="18" t="s">
        <v>4572</v>
      </c>
      <c r="D10" s="18" t="s">
        <v>4573</v>
      </c>
      <c r="E10" s="18" t="s">
        <v>4574</v>
      </c>
      <c r="F10" s="18" t="s">
        <v>172</v>
      </c>
      <c r="G10" s="18" t="s">
        <v>103</v>
      </c>
      <c r="H10" s="18" t="s">
        <v>14</v>
      </c>
    </row>
    <row r="11" customFormat="false" ht="23.85" hidden="false" customHeight="false" outlineLevel="0" collapsed="false">
      <c r="A11" s="17" t="s">
        <v>4575</v>
      </c>
      <c r="B11" s="17" t="s">
        <v>2159</v>
      </c>
      <c r="C11" s="17" t="s">
        <v>1943</v>
      </c>
      <c r="D11" s="17" t="s">
        <v>4576</v>
      </c>
      <c r="E11" s="17" t="s">
        <v>4577</v>
      </c>
      <c r="F11" s="17" t="s">
        <v>172</v>
      </c>
      <c r="G11" s="17" t="s">
        <v>103</v>
      </c>
      <c r="H11" s="17" t="s">
        <v>14</v>
      </c>
    </row>
    <row r="12" customFormat="false" ht="23.85" hidden="false" customHeight="false" outlineLevel="0" collapsed="false">
      <c r="A12" s="18" t="s">
        <v>4575</v>
      </c>
      <c r="B12" s="18" t="s">
        <v>4578</v>
      </c>
      <c r="C12" s="18" t="s">
        <v>4579</v>
      </c>
      <c r="D12" s="18" t="s">
        <v>4580</v>
      </c>
      <c r="E12" s="18" t="s">
        <v>4581</v>
      </c>
      <c r="F12" s="18" t="s">
        <v>172</v>
      </c>
      <c r="G12" s="18" t="s">
        <v>103</v>
      </c>
      <c r="H12" s="18" t="s">
        <v>14</v>
      </c>
    </row>
    <row r="13" customFormat="false" ht="23.85" hidden="false" customHeight="false" outlineLevel="0" collapsed="false">
      <c r="A13" s="17" t="s">
        <v>4575</v>
      </c>
      <c r="B13" s="17" t="s">
        <v>2036</v>
      </c>
      <c r="C13" s="17" t="s">
        <v>4582</v>
      </c>
      <c r="D13" s="17" t="s">
        <v>4583</v>
      </c>
      <c r="E13" s="17" t="s">
        <v>4584</v>
      </c>
      <c r="F13" s="17" t="s">
        <v>274</v>
      </c>
      <c r="G13" s="17" t="s">
        <v>103</v>
      </c>
      <c r="H13" s="17" t="s">
        <v>14</v>
      </c>
    </row>
    <row r="14" customFormat="false" ht="23.85" hidden="false" customHeight="false" outlineLevel="0" collapsed="false">
      <c r="A14" s="18" t="s">
        <v>4575</v>
      </c>
      <c r="B14" s="18" t="s">
        <v>4585</v>
      </c>
      <c r="C14" s="18" t="s">
        <v>4579</v>
      </c>
      <c r="D14" s="18" t="s">
        <v>4586</v>
      </c>
      <c r="E14" s="18" t="s">
        <v>4587</v>
      </c>
      <c r="F14" s="18" t="s">
        <v>274</v>
      </c>
      <c r="G14" s="18" t="s">
        <v>103</v>
      </c>
      <c r="H14" s="18" t="s">
        <v>14</v>
      </c>
    </row>
    <row r="15" customFormat="false" ht="15" hidden="false" customHeight="false" outlineLevel="0" collapsed="false">
      <c r="A15" s="17" t="s">
        <v>4575</v>
      </c>
      <c r="B15" s="17" t="s">
        <v>4588</v>
      </c>
      <c r="C15" s="17" t="s">
        <v>1973</v>
      </c>
      <c r="D15" s="17" t="s">
        <v>4589</v>
      </c>
      <c r="E15" s="17" t="s">
        <v>4590</v>
      </c>
      <c r="F15" s="17" t="s">
        <v>172</v>
      </c>
      <c r="G15" s="17" t="s">
        <v>103</v>
      </c>
      <c r="H15" s="17" t="s">
        <v>16</v>
      </c>
    </row>
    <row r="16" customFormat="false" ht="23.85" hidden="false" customHeight="false" outlineLevel="0" collapsed="false">
      <c r="A16" s="18" t="s">
        <v>4591</v>
      </c>
      <c r="B16" s="18" t="s">
        <v>2061</v>
      </c>
      <c r="C16" s="18" t="s">
        <v>4592</v>
      </c>
      <c r="D16" s="18" t="s">
        <v>4593</v>
      </c>
      <c r="E16" s="18" t="s">
        <v>4594</v>
      </c>
      <c r="F16" s="18" t="s">
        <v>172</v>
      </c>
      <c r="G16" s="18" t="s">
        <v>103</v>
      </c>
      <c r="H16" s="18" t="s">
        <v>14</v>
      </c>
    </row>
    <row r="17" customFormat="false" ht="23.85" hidden="false" customHeight="false" outlineLevel="0" collapsed="false">
      <c r="A17" s="17" t="s">
        <v>4591</v>
      </c>
      <c r="B17" s="17" t="s">
        <v>4595</v>
      </c>
      <c r="C17" s="17" t="s">
        <v>4592</v>
      </c>
      <c r="D17" s="17" t="s">
        <v>4596</v>
      </c>
      <c r="E17" s="17" t="s">
        <v>4597</v>
      </c>
      <c r="F17" s="17" t="s">
        <v>274</v>
      </c>
      <c r="G17" s="17" t="s">
        <v>103</v>
      </c>
      <c r="H17" s="17" t="s">
        <v>14</v>
      </c>
    </row>
    <row r="18" customFormat="false" ht="23.85" hidden="false" customHeight="false" outlineLevel="0" collapsed="false">
      <c r="A18" s="18" t="s">
        <v>4591</v>
      </c>
      <c r="B18" s="18" t="s">
        <v>4598</v>
      </c>
      <c r="C18" s="18" t="s">
        <v>4592</v>
      </c>
      <c r="D18" s="18" t="s">
        <v>4599</v>
      </c>
      <c r="E18" s="18" t="s">
        <v>4600</v>
      </c>
      <c r="F18" s="18" t="s">
        <v>172</v>
      </c>
      <c r="G18" s="18" t="s">
        <v>103</v>
      </c>
      <c r="H18" s="18" t="s">
        <v>14</v>
      </c>
    </row>
    <row r="19" customFormat="false" ht="23.85" hidden="false" customHeight="false" outlineLevel="0" collapsed="false">
      <c r="A19" s="17" t="s">
        <v>4591</v>
      </c>
      <c r="B19" s="17" t="s">
        <v>4601</v>
      </c>
      <c r="C19" s="17" t="s">
        <v>4568</v>
      </c>
      <c r="D19" s="17" t="s">
        <v>4602</v>
      </c>
      <c r="E19" s="17" t="s">
        <v>4603</v>
      </c>
      <c r="F19" s="17" t="s">
        <v>172</v>
      </c>
      <c r="G19" s="17" t="s">
        <v>103</v>
      </c>
      <c r="H19" s="17" t="s">
        <v>14</v>
      </c>
    </row>
    <row r="20" customFormat="false" ht="23.85" hidden="false" customHeight="false" outlineLevel="0" collapsed="false">
      <c r="A20" s="18" t="s">
        <v>4591</v>
      </c>
      <c r="B20" s="18" t="s">
        <v>2304</v>
      </c>
      <c r="C20" s="18" t="s">
        <v>2298</v>
      </c>
      <c r="D20" s="18" t="s">
        <v>2305</v>
      </c>
      <c r="E20" s="18" t="s">
        <v>1784</v>
      </c>
      <c r="F20" s="18" t="s">
        <v>274</v>
      </c>
      <c r="G20" s="18" t="s">
        <v>103</v>
      </c>
      <c r="H20" s="18" t="s">
        <v>14</v>
      </c>
    </row>
    <row r="21" customFormat="false" ht="23.85" hidden="false" customHeight="false" outlineLevel="0" collapsed="false">
      <c r="A21" s="17" t="s">
        <v>4604</v>
      </c>
      <c r="B21" s="17" t="s">
        <v>2312</v>
      </c>
      <c r="C21" s="17" t="s">
        <v>4605</v>
      </c>
      <c r="D21" s="17" t="s">
        <v>4606</v>
      </c>
      <c r="E21" s="17" t="s">
        <v>4607</v>
      </c>
      <c r="F21" s="17" t="s">
        <v>172</v>
      </c>
      <c r="G21" s="17" t="s">
        <v>103</v>
      </c>
      <c r="H21" s="17" t="s">
        <v>14</v>
      </c>
    </row>
    <row r="22" customFormat="false" ht="23.85" hidden="false" customHeight="false" outlineLevel="0" collapsed="false">
      <c r="A22" s="18" t="s">
        <v>4604</v>
      </c>
      <c r="B22" s="18" t="s">
        <v>4347</v>
      </c>
      <c r="C22" s="18" t="s">
        <v>4605</v>
      </c>
      <c r="D22" s="18" t="s">
        <v>4608</v>
      </c>
      <c r="E22" s="18" t="s">
        <v>4609</v>
      </c>
      <c r="F22" s="18" t="s">
        <v>172</v>
      </c>
      <c r="G22" s="18" t="s">
        <v>103</v>
      </c>
      <c r="H22" s="18" t="s">
        <v>14</v>
      </c>
    </row>
    <row r="23" customFormat="false" ht="23.85" hidden="false" customHeight="false" outlineLevel="0" collapsed="false">
      <c r="A23" s="17" t="s">
        <v>4604</v>
      </c>
      <c r="B23" s="17" t="s">
        <v>4610</v>
      </c>
      <c r="C23" s="17" t="s">
        <v>4605</v>
      </c>
      <c r="D23" s="17" t="s">
        <v>4611</v>
      </c>
      <c r="E23" s="17" t="s">
        <v>4612</v>
      </c>
      <c r="F23" s="17" t="s">
        <v>172</v>
      </c>
      <c r="G23" s="17" t="s">
        <v>103</v>
      </c>
      <c r="H23" s="17" t="s">
        <v>14</v>
      </c>
    </row>
    <row r="24" customFormat="false" ht="23.85" hidden="false" customHeight="false" outlineLevel="0" collapsed="false">
      <c r="A24" s="18" t="s">
        <v>4604</v>
      </c>
      <c r="B24" s="18" t="s">
        <v>4383</v>
      </c>
      <c r="C24" s="18" t="s">
        <v>4605</v>
      </c>
      <c r="D24" s="18" t="s">
        <v>4613</v>
      </c>
      <c r="E24" s="18" t="s">
        <v>4614</v>
      </c>
      <c r="F24" s="18" t="s">
        <v>274</v>
      </c>
      <c r="G24" s="18" t="s">
        <v>103</v>
      </c>
      <c r="H24" s="18" t="s">
        <v>14</v>
      </c>
    </row>
    <row r="25" customFormat="false" ht="23.85" hidden="false" customHeight="false" outlineLevel="0" collapsed="false">
      <c r="A25" s="17" t="s">
        <v>4604</v>
      </c>
      <c r="B25" s="17" t="s">
        <v>4615</v>
      </c>
      <c r="C25" s="17" t="s">
        <v>4605</v>
      </c>
      <c r="D25" s="17" t="s">
        <v>4616</v>
      </c>
      <c r="E25" s="17" t="s">
        <v>4617</v>
      </c>
      <c r="F25" s="17" t="s">
        <v>274</v>
      </c>
      <c r="G25" s="17" t="s">
        <v>103</v>
      </c>
      <c r="H25" s="17" t="s">
        <v>14</v>
      </c>
    </row>
    <row r="26" customFormat="false" ht="23.85" hidden="false" customHeight="false" outlineLevel="0" collapsed="false">
      <c r="A26" s="18" t="s">
        <v>4618</v>
      </c>
      <c r="B26" s="18" t="s">
        <v>2073</v>
      </c>
      <c r="C26" s="18" t="s">
        <v>4619</v>
      </c>
      <c r="D26" s="18" t="s">
        <v>4620</v>
      </c>
      <c r="E26" s="18" t="s">
        <v>4621</v>
      </c>
      <c r="F26" s="18" t="s">
        <v>274</v>
      </c>
      <c r="G26" s="18" t="s">
        <v>103</v>
      </c>
      <c r="H26" s="18" t="s">
        <v>14</v>
      </c>
    </row>
    <row r="27" customFormat="false" ht="23.85" hidden="false" customHeight="false" outlineLevel="0" collapsed="false">
      <c r="A27" s="17" t="s">
        <v>4618</v>
      </c>
      <c r="B27" s="17" t="s">
        <v>2075</v>
      </c>
      <c r="C27" s="17" t="s">
        <v>4619</v>
      </c>
      <c r="D27" s="17" t="s">
        <v>4622</v>
      </c>
      <c r="E27" s="17" t="s">
        <v>4623</v>
      </c>
      <c r="F27" s="17" t="s">
        <v>274</v>
      </c>
      <c r="G27" s="17" t="s">
        <v>103</v>
      </c>
      <c r="H27" s="17" t="s">
        <v>14</v>
      </c>
    </row>
    <row r="28" customFormat="false" ht="23.85" hidden="false" customHeight="false" outlineLevel="0" collapsed="false">
      <c r="A28" s="18" t="s">
        <v>4618</v>
      </c>
      <c r="B28" s="18" t="s">
        <v>4624</v>
      </c>
      <c r="C28" s="18" t="s">
        <v>4619</v>
      </c>
      <c r="D28" s="18" t="s">
        <v>4625</v>
      </c>
      <c r="E28" s="18" t="s">
        <v>4626</v>
      </c>
      <c r="F28" s="18" t="s">
        <v>274</v>
      </c>
      <c r="G28" s="18" t="s">
        <v>103</v>
      </c>
      <c r="H28" s="18" t="s">
        <v>14</v>
      </c>
    </row>
    <row r="29" customFormat="false" ht="23.85" hidden="false" customHeight="false" outlineLevel="0" collapsed="false">
      <c r="A29" s="17" t="s">
        <v>4618</v>
      </c>
      <c r="B29" s="17" t="s">
        <v>4627</v>
      </c>
      <c r="C29" s="17" t="s">
        <v>4628</v>
      </c>
      <c r="D29" s="17" t="s">
        <v>4629</v>
      </c>
      <c r="E29" s="17" t="s">
        <v>4630</v>
      </c>
      <c r="F29" s="17" t="s">
        <v>172</v>
      </c>
      <c r="G29" s="17" t="s">
        <v>103</v>
      </c>
      <c r="H29" s="17" t="s">
        <v>14</v>
      </c>
    </row>
    <row r="30" customFormat="false" ht="23.85" hidden="false" customHeight="false" outlineLevel="0" collapsed="false">
      <c r="A30" s="18" t="s">
        <v>4618</v>
      </c>
      <c r="B30" s="18" t="s">
        <v>4631</v>
      </c>
      <c r="C30" s="18" t="s">
        <v>4628</v>
      </c>
      <c r="D30" s="18" t="s">
        <v>4632</v>
      </c>
      <c r="E30" s="18" t="s">
        <v>4633</v>
      </c>
      <c r="F30" s="18" t="s">
        <v>172</v>
      </c>
      <c r="G30" s="18" t="s">
        <v>103</v>
      </c>
      <c r="H30" s="18" t="s">
        <v>14</v>
      </c>
    </row>
    <row r="31" customFormat="false" ht="23.85" hidden="false" customHeight="false" outlineLevel="0" collapsed="false">
      <c r="A31" s="17" t="s">
        <v>4618</v>
      </c>
      <c r="B31" s="17" t="s">
        <v>2235</v>
      </c>
      <c r="C31" s="17" t="s">
        <v>4628</v>
      </c>
      <c r="D31" s="17" t="s">
        <v>4634</v>
      </c>
      <c r="E31" s="17" t="s">
        <v>4635</v>
      </c>
      <c r="F31" s="17" t="s">
        <v>274</v>
      </c>
      <c r="G31" s="17" t="s">
        <v>103</v>
      </c>
      <c r="H31" s="17" t="s">
        <v>14</v>
      </c>
    </row>
    <row r="32" customFormat="false" ht="23.85" hidden="false" customHeight="false" outlineLevel="0" collapsed="false">
      <c r="A32" s="18" t="s">
        <v>4636</v>
      </c>
      <c r="B32" s="18" t="s">
        <v>4637</v>
      </c>
      <c r="C32" s="18" t="s">
        <v>4619</v>
      </c>
      <c r="D32" s="18" t="s">
        <v>2243</v>
      </c>
      <c r="E32" s="18" t="s">
        <v>4638</v>
      </c>
      <c r="F32" s="18" t="s">
        <v>274</v>
      </c>
      <c r="G32" s="18" t="s">
        <v>103</v>
      </c>
      <c r="H32" s="18" t="s">
        <v>14</v>
      </c>
    </row>
    <row r="33" customFormat="false" ht="23.85" hidden="false" customHeight="false" outlineLevel="0" collapsed="false">
      <c r="A33" s="17" t="s">
        <v>4636</v>
      </c>
      <c r="B33" s="17" t="s">
        <v>4639</v>
      </c>
      <c r="C33" s="17" t="s">
        <v>4640</v>
      </c>
      <c r="D33" s="17" t="s">
        <v>4641</v>
      </c>
      <c r="E33" s="17" t="s">
        <v>4642</v>
      </c>
      <c r="F33" s="17" t="s">
        <v>274</v>
      </c>
      <c r="G33" s="17" t="s">
        <v>103</v>
      </c>
      <c r="H33" s="17" t="s">
        <v>14</v>
      </c>
    </row>
    <row r="34" customFormat="false" ht="23.85" hidden="false" customHeight="false" outlineLevel="0" collapsed="false">
      <c r="A34" s="18" t="s">
        <v>4636</v>
      </c>
      <c r="B34" s="18" t="s">
        <v>4643</v>
      </c>
      <c r="C34" s="18" t="s">
        <v>4640</v>
      </c>
      <c r="D34" s="18" t="s">
        <v>4644</v>
      </c>
      <c r="E34" s="18" t="s">
        <v>4645</v>
      </c>
      <c r="F34" s="18" t="s">
        <v>274</v>
      </c>
      <c r="G34" s="18" t="s">
        <v>103</v>
      </c>
      <c r="H34" s="18" t="s">
        <v>14</v>
      </c>
    </row>
    <row r="35" customFormat="false" ht="23.85" hidden="false" customHeight="false" outlineLevel="0" collapsed="false">
      <c r="A35" s="17" t="s">
        <v>4636</v>
      </c>
      <c r="B35" s="17" t="s">
        <v>4646</v>
      </c>
      <c r="C35" s="17" t="s">
        <v>4592</v>
      </c>
      <c r="D35" s="17" t="s">
        <v>4647</v>
      </c>
      <c r="E35" s="17" t="s">
        <v>4648</v>
      </c>
      <c r="F35" s="17" t="s">
        <v>274</v>
      </c>
      <c r="G35" s="17" t="s">
        <v>103</v>
      </c>
      <c r="H35" s="17" t="s">
        <v>14</v>
      </c>
    </row>
    <row r="36" customFormat="false" ht="23.85" hidden="false" customHeight="false" outlineLevel="0" collapsed="false">
      <c r="A36" s="18" t="s">
        <v>4649</v>
      </c>
      <c r="B36" s="18" t="s">
        <v>4650</v>
      </c>
      <c r="C36" s="18" t="s">
        <v>1962</v>
      </c>
      <c r="D36" s="18" t="s">
        <v>4651</v>
      </c>
      <c r="E36" s="18" t="s">
        <v>3603</v>
      </c>
      <c r="F36" s="18" t="s">
        <v>274</v>
      </c>
      <c r="G36" s="18" t="s">
        <v>103</v>
      </c>
      <c r="H36" s="18" t="s">
        <v>14</v>
      </c>
    </row>
    <row r="37" customFormat="false" ht="23.85" hidden="false" customHeight="false" outlineLevel="0" collapsed="false">
      <c r="A37" s="17" t="s">
        <v>4649</v>
      </c>
      <c r="B37" s="17" t="s">
        <v>4652</v>
      </c>
      <c r="C37" s="17" t="s">
        <v>2027</v>
      </c>
      <c r="D37" s="17" t="s">
        <v>4653</v>
      </c>
      <c r="E37" s="17" t="s">
        <v>4654</v>
      </c>
      <c r="F37" s="17" t="s">
        <v>274</v>
      </c>
      <c r="G37" s="17" t="s">
        <v>103</v>
      </c>
      <c r="H37" s="17" t="s">
        <v>14</v>
      </c>
    </row>
    <row r="38" customFormat="false" ht="23.85" hidden="false" customHeight="false" outlineLevel="0" collapsed="false">
      <c r="A38" s="18" t="s">
        <v>4649</v>
      </c>
      <c r="B38" s="18" t="s">
        <v>2333</v>
      </c>
      <c r="C38" s="18" t="s">
        <v>2027</v>
      </c>
      <c r="D38" s="18" t="s">
        <v>4655</v>
      </c>
      <c r="E38" s="18" t="s">
        <v>4656</v>
      </c>
      <c r="F38" s="18" t="s">
        <v>274</v>
      </c>
      <c r="G38" s="18" t="s">
        <v>103</v>
      </c>
      <c r="H38" s="18" t="s">
        <v>14</v>
      </c>
    </row>
    <row r="39" customFormat="false" ht="23.85" hidden="false" customHeight="false" outlineLevel="0" collapsed="false">
      <c r="A39" s="17" t="s">
        <v>4649</v>
      </c>
      <c r="B39" s="17" t="s">
        <v>1311</v>
      </c>
      <c r="C39" s="17" t="s">
        <v>1962</v>
      </c>
      <c r="D39" s="17" t="s">
        <v>4657</v>
      </c>
      <c r="E39" s="17" t="s">
        <v>3630</v>
      </c>
      <c r="F39" s="17" t="s">
        <v>172</v>
      </c>
      <c r="G39" s="17" t="s">
        <v>103</v>
      </c>
      <c r="H39" s="17" t="s">
        <v>14</v>
      </c>
    </row>
    <row r="40" customFormat="false" ht="23.85" hidden="false" customHeight="false" outlineLevel="0" collapsed="false">
      <c r="A40" s="18" t="s">
        <v>4649</v>
      </c>
      <c r="B40" s="18" t="s">
        <v>4658</v>
      </c>
      <c r="C40" s="18" t="s">
        <v>1943</v>
      </c>
      <c r="D40" s="18" t="s">
        <v>4659</v>
      </c>
      <c r="E40" s="18" t="s">
        <v>4660</v>
      </c>
      <c r="F40" s="18" t="s">
        <v>274</v>
      </c>
      <c r="G40" s="18" t="s">
        <v>103</v>
      </c>
      <c r="H40" s="18" t="s">
        <v>14</v>
      </c>
    </row>
    <row r="41" customFormat="false" ht="23.85" hidden="false" customHeight="false" outlineLevel="0" collapsed="false">
      <c r="A41" s="17" t="s">
        <v>4649</v>
      </c>
      <c r="B41" s="17" t="s">
        <v>2086</v>
      </c>
      <c r="C41" s="17" t="s">
        <v>1943</v>
      </c>
      <c r="D41" s="17" t="s">
        <v>4661</v>
      </c>
      <c r="E41" s="17" t="s">
        <v>4662</v>
      </c>
      <c r="F41" s="17" t="s">
        <v>274</v>
      </c>
      <c r="G41" s="17" t="s">
        <v>103</v>
      </c>
      <c r="H41" s="17" t="s">
        <v>14</v>
      </c>
    </row>
    <row r="42" customFormat="false" ht="23.85" hidden="false" customHeight="false" outlineLevel="0" collapsed="false">
      <c r="A42" s="18" t="s">
        <v>4663</v>
      </c>
      <c r="B42" s="18" t="s">
        <v>2082</v>
      </c>
      <c r="C42" s="18" t="s">
        <v>1943</v>
      </c>
      <c r="D42" s="18" t="s">
        <v>4664</v>
      </c>
      <c r="E42" s="18" t="s">
        <v>4665</v>
      </c>
      <c r="F42" s="18" t="s">
        <v>2071</v>
      </c>
      <c r="G42" s="18" t="s">
        <v>103</v>
      </c>
      <c r="H42" s="18" t="s">
        <v>14</v>
      </c>
    </row>
    <row r="43" customFormat="false" ht="23.85" hidden="false" customHeight="false" outlineLevel="0" collapsed="false">
      <c r="A43" s="17" t="s">
        <v>4663</v>
      </c>
      <c r="B43" s="17" t="s">
        <v>4666</v>
      </c>
      <c r="C43" s="17" t="s">
        <v>4582</v>
      </c>
      <c r="D43" s="17" t="s">
        <v>4667</v>
      </c>
      <c r="E43" s="17" t="s">
        <v>4668</v>
      </c>
      <c r="F43" s="17" t="s">
        <v>2071</v>
      </c>
      <c r="G43" s="17" t="s">
        <v>103</v>
      </c>
      <c r="H43" s="17" t="s">
        <v>14</v>
      </c>
    </row>
    <row r="44" customFormat="false" ht="23.85" hidden="false" customHeight="false" outlineLevel="0" collapsed="false">
      <c r="A44" s="18" t="s">
        <v>4663</v>
      </c>
      <c r="B44" s="18" t="s">
        <v>4669</v>
      </c>
      <c r="C44" s="18" t="s">
        <v>1943</v>
      </c>
      <c r="D44" s="18" t="s">
        <v>4670</v>
      </c>
      <c r="E44" s="18" t="s">
        <v>4671</v>
      </c>
      <c r="F44" s="18" t="s">
        <v>2071</v>
      </c>
      <c r="G44" s="18" t="s">
        <v>103</v>
      </c>
      <c r="H44" s="18" t="s">
        <v>14</v>
      </c>
    </row>
    <row r="45" customFormat="false" ht="23.85" hidden="false" customHeight="false" outlineLevel="0" collapsed="false">
      <c r="A45" s="17" t="s">
        <v>4663</v>
      </c>
      <c r="B45" s="17" t="s">
        <v>4672</v>
      </c>
      <c r="C45" s="17" t="s">
        <v>1973</v>
      </c>
      <c r="D45" s="17" t="s">
        <v>4673</v>
      </c>
      <c r="E45" s="17" t="s">
        <v>4674</v>
      </c>
      <c r="F45" s="17" t="s">
        <v>274</v>
      </c>
      <c r="G45" s="17" t="s">
        <v>103</v>
      </c>
      <c r="H45" s="17" t="s">
        <v>14</v>
      </c>
    </row>
    <row r="46" customFormat="false" ht="23.85" hidden="false" customHeight="false" outlineLevel="0" collapsed="false">
      <c r="A46" s="18" t="s">
        <v>4663</v>
      </c>
      <c r="B46" s="18" t="s">
        <v>4675</v>
      </c>
      <c r="C46" s="18" t="s">
        <v>2027</v>
      </c>
      <c r="D46" s="18" t="s">
        <v>4676</v>
      </c>
      <c r="E46" s="18" t="s">
        <v>4677</v>
      </c>
      <c r="F46" s="18" t="s">
        <v>2071</v>
      </c>
      <c r="G46" s="18" t="s">
        <v>103</v>
      </c>
      <c r="H46" s="18" t="s">
        <v>14</v>
      </c>
    </row>
    <row r="47" customFormat="false" ht="23.85" hidden="false" customHeight="false" outlineLevel="0" collapsed="false">
      <c r="A47" s="17" t="s">
        <v>4678</v>
      </c>
      <c r="B47" s="17" t="s">
        <v>4679</v>
      </c>
      <c r="C47" s="17" t="s">
        <v>4605</v>
      </c>
      <c r="D47" s="17" t="s">
        <v>4376</v>
      </c>
      <c r="E47" s="17" t="s">
        <v>4680</v>
      </c>
      <c r="F47" s="17" t="s">
        <v>274</v>
      </c>
      <c r="G47" s="17" t="s">
        <v>103</v>
      </c>
      <c r="H47" s="17" t="s">
        <v>14</v>
      </c>
    </row>
    <row r="48" customFormat="false" ht="23.85" hidden="false" customHeight="false" outlineLevel="0" collapsed="false">
      <c r="A48" s="18" t="s">
        <v>4678</v>
      </c>
      <c r="B48" s="18" t="s">
        <v>2337</v>
      </c>
      <c r="C48" s="18" t="s">
        <v>2027</v>
      </c>
      <c r="D48" s="18" t="s">
        <v>4681</v>
      </c>
      <c r="E48" s="18" t="s">
        <v>4682</v>
      </c>
      <c r="F48" s="18" t="s">
        <v>274</v>
      </c>
      <c r="G48" s="18" t="s">
        <v>103</v>
      </c>
      <c r="H48" s="18" t="s">
        <v>14</v>
      </c>
    </row>
    <row r="49" customFormat="false" ht="23.85" hidden="false" customHeight="false" outlineLevel="0" collapsed="false">
      <c r="A49" s="17" t="s">
        <v>4678</v>
      </c>
      <c r="B49" s="17" t="s">
        <v>4683</v>
      </c>
      <c r="C49" s="17" t="s">
        <v>4605</v>
      </c>
      <c r="D49" s="17" t="s">
        <v>4684</v>
      </c>
      <c r="E49" s="17" t="s">
        <v>4685</v>
      </c>
      <c r="F49" s="17" t="s">
        <v>2071</v>
      </c>
      <c r="G49" s="17" t="s">
        <v>103</v>
      </c>
      <c r="H49" s="17" t="s">
        <v>14</v>
      </c>
    </row>
    <row r="50" customFormat="false" ht="23.85" hidden="false" customHeight="false" outlineLevel="0" collapsed="false">
      <c r="A50" s="18" t="s">
        <v>4686</v>
      </c>
      <c r="B50" s="18" t="s">
        <v>2067</v>
      </c>
      <c r="C50" s="18" t="s">
        <v>4687</v>
      </c>
      <c r="D50" s="18" t="s">
        <v>4688</v>
      </c>
      <c r="E50" s="18" t="s">
        <v>4689</v>
      </c>
      <c r="F50" s="18" t="s">
        <v>274</v>
      </c>
      <c r="G50" s="18" t="s">
        <v>103</v>
      </c>
      <c r="H50" s="18" t="s">
        <v>14</v>
      </c>
    </row>
    <row r="51" customFormat="false" ht="23.85" hidden="false" customHeight="false" outlineLevel="0" collapsed="false">
      <c r="A51" s="17" t="s">
        <v>4686</v>
      </c>
      <c r="B51" s="17" t="s">
        <v>4690</v>
      </c>
      <c r="C51" s="17" t="s">
        <v>4687</v>
      </c>
      <c r="D51" s="17" t="s">
        <v>4691</v>
      </c>
      <c r="E51" s="17" t="s">
        <v>4692</v>
      </c>
      <c r="F51" s="17" t="s">
        <v>2071</v>
      </c>
      <c r="G51" s="17" t="s">
        <v>103</v>
      </c>
      <c r="H51" s="17" t="s">
        <v>14</v>
      </c>
    </row>
    <row r="52" customFormat="false" ht="23.85" hidden="false" customHeight="false" outlineLevel="0" collapsed="false">
      <c r="A52" s="18" t="s">
        <v>4686</v>
      </c>
      <c r="B52" s="18" t="s">
        <v>4693</v>
      </c>
      <c r="C52" s="18" t="s">
        <v>4687</v>
      </c>
      <c r="D52" s="18" t="s">
        <v>4694</v>
      </c>
      <c r="E52" s="18" t="s">
        <v>2072</v>
      </c>
      <c r="F52" s="18" t="s">
        <v>2071</v>
      </c>
      <c r="G52" s="18" t="s">
        <v>103</v>
      </c>
      <c r="H52" s="18" t="s">
        <v>14</v>
      </c>
    </row>
    <row r="53" customFormat="false" ht="15" hidden="false" customHeight="false" outlineLevel="0" collapsed="false">
      <c r="A53" s="17" t="s">
        <v>4686</v>
      </c>
      <c r="B53" s="17" t="s">
        <v>4695</v>
      </c>
      <c r="C53" s="17" t="s">
        <v>4696</v>
      </c>
      <c r="D53" s="17" t="s">
        <v>4697</v>
      </c>
      <c r="E53" s="17" t="s">
        <v>4698</v>
      </c>
      <c r="F53" s="17" t="s">
        <v>172</v>
      </c>
      <c r="G53" s="17" t="s">
        <v>103</v>
      </c>
      <c r="H53" s="17" t="s">
        <v>16</v>
      </c>
    </row>
    <row r="54" customFormat="false" ht="23.85" hidden="false" customHeight="false" outlineLevel="0" collapsed="false">
      <c r="A54" s="18" t="s">
        <v>4699</v>
      </c>
      <c r="B54" s="18" t="s">
        <v>4700</v>
      </c>
      <c r="C54" s="18" t="s">
        <v>4687</v>
      </c>
      <c r="D54" s="18" t="s">
        <v>4701</v>
      </c>
      <c r="E54" s="18" t="s">
        <v>4702</v>
      </c>
      <c r="F54" s="18" t="s">
        <v>2071</v>
      </c>
      <c r="G54" s="18" t="s">
        <v>103</v>
      </c>
      <c r="H54" s="18" t="s">
        <v>14</v>
      </c>
    </row>
  </sheetData>
  <autoFilter ref="A4:H54"/>
  <mergeCells count="2">
    <mergeCell ref="A1:H1"/>
    <mergeCell ref="A2:H2"/>
  </mergeCells>
  <conditionalFormatting sqref="F5:F54">
    <cfRule type="expression" priority="2" aboveAverage="0" equalAverage="0" bottom="0" percent="0" rank="0" text="" dxfId="18">
      <formula>EXACT($F5,"CRITICAL")</formula>
    </cfRule>
    <cfRule type="expression" priority="3" aboveAverage="0" equalAverage="0" bottom="0" percent="0" rank="0" text="" dxfId="17">
      <formula>EXACT($F5,"HIGH")</formula>
    </cfRule>
    <cfRule type="expression" priority="4" aboveAverage="0" equalAverage="0" bottom="0" percent="0" rank="0" text="" dxfId="19">
      <formula>EXACT($F5,"MEDIUM")</formula>
    </cfRule>
    <cfRule type="expression" priority="5" aboveAverage="0" equalAverage="0" bottom="0" percent="0" rank="0" text="" dxfId="22">
      <formula>EXACT($F5,"LOW")</formula>
    </cfRule>
  </conditionalFormatting>
  <conditionalFormatting sqref="G5:G54">
    <cfRule type="expression" priority="6" aboveAverage="0" equalAverage="0" bottom="0" percent="0" rank="0" text="" dxfId="16">
      <formula>EXACT($G5,"NOT STARTED")</formula>
    </cfRule>
    <cfRule type="expression" priority="7" aboveAverage="0" equalAverage="0" bottom="0" percent="0" rank="0" text="" dxfId="17">
      <formula>EXACT($G5,"IN PROGRESS")</formula>
    </cfRule>
    <cfRule type="expression" priority="8" aboveAverage="0" equalAverage="0" bottom="0" percent="0" rank="0" text="" dxfId="18">
      <formula>EXACT($G5,"BLOCKED")</formula>
    </cfRule>
    <cfRule type="expression" priority="9" aboveAverage="0" equalAverage="0" bottom="0" percent="0" rank="0" text="" dxfId="19">
      <formula>EXACT($G5,"REVIEW")</formula>
    </cfRule>
    <cfRule type="expression" priority="10" aboveAverage="0" equalAverage="0" bottom="0" percent="0" rank="0" text="" dxfId="20">
      <formula>EXACT($G5,"DONE")</formula>
    </cfRule>
    <cfRule type="expression" priority="11" aboveAverage="0" equalAverage="0" bottom="0" percent="0" rank="0" text="" dxfId="21">
      <formula>EXACT($G5,"DEFERRED")</formula>
    </cfRule>
  </conditionalFormatting>
  <conditionalFormatting sqref="H5:H54">
    <cfRule type="expression" priority="12" aboveAverage="0" equalAverage="0" bottom="0" percent="0" rank="0" text="" dxfId="20">
      <formula>EXACT($H5,"OBSERVED FROM RESEARCH")</formula>
    </cfRule>
    <cfRule type="expression" priority="13" aboveAverage="0" equalAverage="0" bottom="0" percent="0" rank="0" text="" dxfId="19">
      <formula>EXACT($H5,"PROPOSED")</formula>
    </cfRule>
    <cfRule type="expression" priority="14" aboveAverage="0" equalAverage="0" bottom="0" percent="0" rank="0" text="" dxfId="23">
      <formula>EXACT($H5,"DECISION REQUIRED")</formula>
    </cfRule>
    <cfRule type="expression" priority="15" aboveAverage="0" equalAverage="0" bottom="0" percent="0" rank="0" text="" dxfId="24">
      <formula>EXACT($H5,"USER REQUIREMENT")</formula>
    </cfRule>
  </conditionalFormatting>
  <dataValidations count="1">
    <dataValidation allowBlank="true" errorStyle="stop" operator="between" prompt="Pick one of: NOT STARTED, IN PROGRESS, BLOCKED, REVIEW, DONE, DEFERRED" promptTitle="Status" showDropDown="false" showErrorMessage="false" showInputMessage="true" sqref="G5:G54" type="list">
      <formula1>"NOT STARTED,IN PROGRESS,BLOCKED,REVIEW,DONE,DEFERRED"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80"/>
    <col collapsed="false" customWidth="true" hidden="false" outlineLevel="0" max="6" min="6" style="0" width="56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9" t="s">
        <v>4703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11" t="s">
        <v>4704</v>
      </c>
      <c r="B2" s="11"/>
      <c r="C2" s="11"/>
      <c r="D2" s="11"/>
      <c r="E2" s="11"/>
      <c r="F2" s="11"/>
      <c r="G2" s="11"/>
      <c r="H2" s="11"/>
      <c r="I2" s="11"/>
    </row>
    <row r="4" customFormat="false" ht="33.75" hidden="false" customHeight="true" outlineLevel="0" collapsed="false">
      <c r="A4" s="16" t="s">
        <v>4705</v>
      </c>
      <c r="B4" s="16" t="s">
        <v>4706</v>
      </c>
      <c r="C4" s="16" t="s">
        <v>4707</v>
      </c>
      <c r="D4" s="16" t="s">
        <v>4708</v>
      </c>
      <c r="E4" s="16" t="s">
        <v>1940</v>
      </c>
      <c r="F4" s="16" t="s">
        <v>4709</v>
      </c>
      <c r="G4" s="16" t="s">
        <v>4710</v>
      </c>
      <c r="H4" s="16" t="s">
        <v>4711</v>
      </c>
      <c r="I4" s="16" t="s">
        <v>4712</v>
      </c>
    </row>
    <row r="5" customFormat="false" ht="23.85" hidden="false" customHeight="false" outlineLevel="0" collapsed="false">
      <c r="A5" s="17" t="s">
        <v>4713</v>
      </c>
      <c r="B5" s="17" t="s">
        <v>4714</v>
      </c>
      <c r="C5" s="17" t="s">
        <v>4715</v>
      </c>
      <c r="D5" s="17" t="s">
        <v>4716</v>
      </c>
      <c r="E5" s="17" t="s">
        <v>4717</v>
      </c>
      <c r="F5" s="17" t="s">
        <v>4718</v>
      </c>
      <c r="G5" s="17" t="s">
        <v>4719</v>
      </c>
      <c r="H5" s="17"/>
      <c r="I5" s="17"/>
    </row>
    <row r="6" customFormat="false" ht="23.85" hidden="false" customHeight="false" outlineLevel="0" collapsed="false">
      <c r="A6" s="18" t="s">
        <v>4720</v>
      </c>
      <c r="B6" s="18" t="s">
        <v>4721</v>
      </c>
      <c r="C6" s="18" t="s">
        <v>4722</v>
      </c>
      <c r="D6" s="18" t="s">
        <v>4723</v>
      </c>
      <c r="E6" s="18" t="s">
        <v>4724</v>
      </c>
      <c r="F6" s="18" t="s">
        <v>4725</v>
      </c>
      <c r="G6" s="18" t="s">
        <v>4719</v>
      </c>
      <c r="H6" s="18"/>
      <c r="I6" s="18"/>
    </row>
    <row r="7" customFormat="false" ht="15" hidden="false" customHeight="false" outlineLevel="0" collapsed="false">
      <c r="A7" s="17" t="s">
        <v>4726</v>
      </c>
      <c r="B7" s="17" t="s">
        <v>4727</v>
      </c>
      <c r="C7" s="17" t="s">
        <v>4728</v>
      </c>
      <c r="D7" s="17" t="s">
        <v>4729</v>
      </c>
      <c r="E7" s="17" t="s">
        <v>4730</v>
      </c>
      <c r="F7" s="17" t="s">
        <v>4731</v>
      </c>
      <c r="G7" s="17" t="s">
        <v>4719</v>
      </c>
      <c r="H7" s="17"/>
      <c r="I7" s="17"/>
    </row>
    <row r="8" customFormat="false" ht="23.85" hidden="false" customHeight="false" outlineLevel="0" collapsed="false">
      <c r="A8" s="18" t="s">
        <v>4732</v>
      </c>
      <c r="B8" s="18" t="s">
        <v>4733</v>
      </c>
      <c r="C8" s="18" t="s">
        <v>4734</v>
      </c>
      <c r="D8" s="18" t="s">
        <v>4735</v>
      </c>
      <c r="E8" s="18" t="s">
        <v>4736</v>
      </c>
      <c r="F8" s="18" t="s">
        <v>4737</v>
      </c>
      <c r="G8" s="18" t="s">
        <v>4719</v>
      </c>
      <c r="H8" s="18"/>
      <c r="I8" s="18"/>
    </row>
    <row r="9" customFormat="false" ht="23.85" hidden="false" customHeight="false" outlineLevel="0" collapsed="false">
      <c r="A9" s="17" t="s">
        <v>4738</v>
      </c>
      <c r="B9" s="17" t="s">
        <v>4739</v>
      </c>
      <c r="C9" s="17" t="s">
        <v>4740</v>
      </c>
      <c r="D9" s="17" t="s">
        <v>4741</v>
      </c>
      <c r="E9" s="17" t="s">
        <v>4742</v>
      </c>
      <c r="F9" s="17" t="s">
        <v>4743</v>
      </c>
      <c r="G9" s="17" t="s">
        <v>4719</v>
      </c>
      <c r="H9" s="17"/>
      <c r="I9" s="17"/>
    </row>
    <row r="10" customFormat="false" ht="23.85" hidden="false" customHeight="false" outlineLevel="0" collapsed="false">
      <c r="A10" s="18" t="s">
        <v>2136</v>
      </c>
      <c r="B10" s="18" t="s">
        <v>4744</v>
      </c>
      <c r="C10" s="18" t="s">
        <v>4745</v>
      </c>
      <c r="D10" s="18" t="s">
        <v>4746</v>
      </c>
      <c r="E10" s="18" t="s">
        <v>4747</v>
      </c>
      <c r="F10" s="18" t="s">
        <v>4748</v>
      </c>
      <c r="G10" s="18" t="s">
        <v>4719</v>
      </c>
      <c r="H10" s="18"/>
      <c r="I10" s="18"/>
    </row>
    <row r="11" customFormat="false" ht="23.85" hidden="false" customHeight="false" outlineLevel="0" collapsed="false">
      <c r="A11" s="17" t="s">
        <v>4749</v>
      </c>
      <c r="B11" s="17" t="s">
        <v>4750</v>
      </c>
      <c r="C11" s="17" t="s">
        <v>4751</v>
      </c>
      <c r="D11" s="17" t="s">
        <v>4752</v>
      </c>
      <c r="E11" s="17" t="s">
        <v>4753</v>
      </c>
      <c r="F11" s="17" t="s">
        <v>4754</v>
      </c>
      <c r="G11" s="17" t="s">
        <v>4719</v>
      </c>
      <c r="H11" s="17"/>
      <c r="I11" s="17"/>
    </row>
    <row r="12" customFormat="false" ht="23.85" hidden="false" customHeight="false" outlineLevel="0" collapsed="false">
      <c r="A12" s="18" t="s">
        <v>4755</v>
      </c>
      <c r="B12" s="18" t="s">
        <v>4756</v>
      </c>
      <c r="C12" s="18" t="s">
        <v>4757</v>
      </c>
      <c r="D12" s="18" t="s">
        <v>4758</v>
      </c>
      <c r="E12" s="18" t="s">
        <v>4759</v>
      </c>
      <c r="F12" s="18" t="s">
        <v>4760</v>
      </c>
      <c r="G12" s="18" t="s">
        <v>4719</v>
      </c>
      <c r="H12" s="18"/>
      <c r="I12" s="18"/>
    </row>
    <row r="13" customFormat="false" ht="15" hidden="false" customHeight="false" outlineLevel="0" collapsed="false">
      <c r="A13" s="17" t="s">
        <v>4761</v>
      </c>
      <c r="B13" s="17" t="s">
        <v>4762</v>
      </c>
      <c r="C13" s="17" t="s">
        <v>4763</v>
      </c>
      <c r="D13" s="17" t="s">
        <v>4764</v>
      </c>
      <c r="E13" s="17" t="s">
        <v>4765</v>
      </c>
      <c r="F13" s="17" t="s">
        <v>4766</v>
      </c>
      <c r="G13" s="17" t="s">
        <v>4719</v>
      </c>
      <c r="H13" s="17"/>
      <c r="I13" s="17"/>
    </row>
    <row r="14" customFormat="false" ht="23.85" hidden="false" customHeight="false" outlineLevel="0" collapsed="false">
      <c r="A14" s="18" t="s">
        <v>4767</v>
      </c>
      <c r="B14" s="18" t="s">
        <v>4768</v>
      </c>
      <c r="C14" s="18" t="s">
        <v>4769</v>
      </c>
      <c r="D14" s="18" t="s">
        <v>4770</v>
      </c>
      <c r="E14" s="18" t="s">
        <v>4771</v>
      </c>
      <c r="F14" s="18" t="s">
        <v>4772</v>
      </c>
      <c r="G14" s="18" t="s">
        <v>4719</v>
      </c>
      <c r="H14" s="18"/>
      <c r="I14" s="18"/>
    </row>
    <row r="15" customFormat="false" ht="23.85" hidden="false" customHeight="false" outlineLevel="0" collapsed="false">
      <c r="A15" s="17" t="s">
        <v>4773</v>
      </c>
      <c r="B15" s="17" t="s">
        <v>4774</v>
      </c>
      <c r="C15" s="17" t="s">
        <v>4775</v>
      </c>
      <c r="D15" s="17" t="s">
        <v>4776</v>
      </c>
      <c r="E15" s="17" t="s">
        <v>4777</v>
      </c>
      <c r="F15" s="17" t="s">
        <v>4778</v>
      </c>
      <c r="G15" s="17" t="s">
        <v>4719</v>
      </c>
      <c r="H15" s="17"/>
      <c r="I15" s="17"/>
    </row>
    <row r="16" customFormat="false" ht="15" hidden="false" customHeight="false" outlineLevel="0" collapsed="false">
      <c r="A16" s="18" t="s">
        <v>4779</v>
      </c>
      <c r="B16" s="18" t="s">
        <v>4780</v>
      </c>
      <c r="C16" s="18" t="s">
        <v>4781</v>
      </c>
      <c r="D16" s="18" t="s">
        <v>4782</v>
      </c>
      <c r="E16" s="18" t="s">
        <v>4783</v>
      </c>
      <c r="F16" s="18" t="s">
        <v>4784</v>
      </c>
      <c r="G16" s="18" t="s">
        <v>4719</v>
      </c>
      <c r="H16" s="18"/>
      <c r="I16" s="18"/>
    </row>
    <row r="17" customFormat="false" ht="23.85" hidden="false" customHeight="false" outlineLevel="0" collapsed="false">
      <c r="A17" s="17" t="s">
        <v>4785</v>
      </c>
      <c r="B17" s="17" t="s">
        <v>4786</v>
      </c>
      <c r="C17" s="17" t="s">
        <v>4787</v>
      </c>
      <c r="D17" s="17" t="s">
        <v>4788</v>
      </c>
      <c r="E17" s="17" t="s">
        <v>4789</v>
      </c>
      <c r="F17" s="17" t="s">
        <v>4790</v>
      </c>
      <c r="G17" s="17" t="s">
        <v>4719</v>
      </c>
      <c r="H17" s="17"/>
      <c r="I17" s="17"/>
    </row>
    <row r="18" customFormat="false" ht="23.85" hidden="false" customHeight="false" outlineLevel="0" collapsed="false">
      <c r="A18" s="18" t="s">
        <v>2152</v>
      </c>
      <c r="B18" s="18" t="s">
        <v>4791</v>
      </c>
      <c r="C18" s="18" t="s">
        <v>4792</v>
      </c>
      <c r="D18" s="18" t="s">
        <v>4793</v>
      </c>
      <c r="E18" s="18" t="s">
        <v>4794</v>
      </c>
      <c r="F18" s="18" t="s">
        <v>4795</v>
      </c>
      <c r="G18" s="18" t="s">
        <v>4719</v>
      </c>
      <c r="H18" s="18"/>
      <c r="I18" s="18"/>
    </row>
    <row r="19" customFormat="false" ht="23.85" hidden="false" customHeight="false" outlineLevel="0" collapsed="false">
      <c r="A19" s="17" t="s">
        <v>4796</v>
      </c>
      <c r="B19" s="17" t="s">
        <v>4797</v>
      </c>
      <c r="C19" s="17" t="s">
        <v>4798</v>
      </c>
      <c r="D19" s="17" t="s">
        <v>4799</v>
      </c>
      <c r="E19" s="17" t="s">
        <v>4800</v>
      </c>
      <c r="F19" s="17" t="s">
        <v>4801</v>
      </c>
      <c r="G19" s="17" t="s">
        <v>4719</v>
      </c>
      <c r="H19" s="17"/>
      <c r="I19" s="17"/>
    </row>
    <row r="20" customFormat="false" ht="23.85" hidden="false" customHeight="false" outlineLevel="0" collapsed="false">
      <c r="A20" s="18" t="s">
        <v>4802</v>
      </c>
      <c r="B20" s="18" t="s">
        <v>4803</v>
      </c>
      <c r="C20" s="18" t="s">
        <v>4804</v>
      </c>
      <c r="D20" s="18" t="s">
        <v>4805</v>
      </c>
      <c r="E20" s="18" t="s">
        <v>4806</v>
      </c>
      <c r="F20" s="18" t="s">
        <v>4807</v>
      </c>
      <c r="G20" s="18" t="s">
        <v>4719</v>
      </c>
      <c r="H20" s="18"/>
      <c r="I20" s="18"/>
    </row>
    <row r="21" customFormat="false" ht="15" hidden="false" customHeight="false" outlineLevel="0" collapsed="false">
      <c r="A21" s="17" t="s">
        <v>4808</v>
      </c>
      <c r="B21" s="17" t="s">
        <v>4809</v>
      </c>
      <c r="C21" s="17" t="s">
        <v>4810</v>
      </c>
      <c r="D21" s="17" t="s">
        <v>4811</v>
      </c>
      <c r="E21" s="17" t="s">
        <v>4812</v>
      </c>
      <c r="F21" s="17" t="s">
        <v>4813</v>
      </c>
      <c r="G21" s="17" t="s">
        <v>4719</v>
      </c>
      <c r="H21" s="17"/>
      <c r="I21" s="17"/>
    </row>
    <row r="22" customFormat="false" ht="23.85" hidden="false" customHeight="false" outlineLevel="0" collapsed="false">
      <c r="A22" s="18" t="s">
        <v>4814</v>
      </c>
      <c r="B22" s="18" t="s">
        <v>4815</v>
      </c>
      <c r="C22" s="18" t="s">
        <v>4816</v>
      </c>
      <c r="D22" s="18" t="s">
        <v>4817</v>
      </c>
      <c r="E22" s="18" t="s">
        <v>4818</v>
      </c>
      <c r="F22" s="18" t="s">
        <v>4819</v>
      </c>
      <c r="G22" s="18" t="s">
        <v>4719</v>
      </c>
      <c r="H22" s="18"/>
      <c r="I22" s="18"/>
    </row>
    <row r="23" customFormat="false" ht="15" hidden="false" customHeight="false" outlineLevel="0" collapsed="false">
      <c r="A23" s="17" t="s">
        <v>4820</v>
      </c>
      <c r="B23" s="17" t="s">
        <v>4821</v>
      </c>
      <c r="C23" s="17" t="s">
        <v>4822</v>
      </c>
      <c r="D23" s="17" t="s">
        <v>4823</v>
      </c>
      <c r="E23" s="17" t="s">
        <v>4824</v>
      </c>
      <c r="F23" s="17" t="s">
        <v>4825</v>
      </c>
      <c r="G23" s="17" t="s">
        <v>4719</v>
      </c>
      <c r="H23" s="17"/>
      <c r="I23" s="17"/>
    </row>
    <row r="24" customFormat="false" ht="23.85" hidden="false" customHeight="false" outlineLevel="0" collapsed="false">
      <c r="A24" s="18" t="s">
        <v>4826</v>
      </c>
      <c r="B24" s="18" t="s">
        <v>4827</v>
      </c>
      <c r="C24" s="18" t="s">
        <v>4828</v>
      </c>
      <c r="D24" s="18" t="s">
        <v>4829</v>
      </c>
      <c r="E24" s="18" t="s">
        <v>4830</v>
      </c>
      <c r="F24" s="18" t="s">
        <v>4831</v>
      </c>
      <c r="G24" s="18" t="s">
        <v>4719</v>
      </c>
      <c r="H24" s="18"/>
      <c r="I24" s="18"/>
    </row>
    <row r="25" customFormat="false" ht="23.85" hidden="false" customHeight="false" outlineLevel="0" collapsed="false">
      <c r="A25" s="17" t="s">
        <v>4832</v>
      </c>
      <c r="B25" s="17" t="s">
        <v>4833</v>
      </c>
      <c r="C25" s="17" t="s">
        <v>4834</v>
      </c>
      <c r="D25" s="17" t="s">
        <v>4835</v>
      </c>
      <c r="E25" s="17" t="s">
        <v>4836</v>
      </c>
      <c r="F25" s="17" t="s">
        <v>4837</v>
      </c>
      <c r="G25" s="17" t="s">
        <v>4719</v>
      </c>
      <c r="H25" s="17"/>
      <c r="I25" s="17"/>
    </row>
    <row r="26" customFormat="false" ht="15" hidden="false" customHeight="false" outlineLevel="0" collapsed="false">
      <c r="A26" s="18" t="s">
        <v>4838</v>
      </c>
      <c r="B26" s="18" t="s">
        <v>4839</v>
      </c>
      <c r="C26" s="18" t="s">
        <v>4840</v>
      </c>
      <c r="D26" s="18" t="s">
        <v>4841</v>
      </c>
      <c r="E26" s="18" t="s">
        <v>4842</v>
      </c>
      <c r="F26" s="18" t="s">
        <v>4843</v>
      </c>
      <c r="G26" s="18" t="s">
        <v>4719</v>
      </c>
      <c r="H26" s="18"/>
      <c r="I26" s="18"/>
    </row>
    <row r="27" customFormat="false" ht="23.85" hidden="false" customHeight="false" outlineLevel="0" collapsed="false">
      <c r="A27" s="17" t="s">
        <v>4844</v>
      </c>
      <c r="B27" s="17" t="s">
        <v>4845</v>
      </c>
      <c r="C27" s="17" t="s">
        <v>4846</v>
      </c>
      <c r="D27" s="17" t="s">
        <v>4847</v>
      </c>
      <c r="E27" s="17" t="s">
        <v>4848</v>
      </c>
      <c r="F27" s="17" t="s">
        <v>4849</v>
      </c>
      <c r="G27" s="17" t="s">
        <v>4719</v>
      </c>
      <c r="H27" s="17"/>
      <c r="I27" s="17"/>
    </row>
    <row r="28" customFormat="false" ht="15" hidden="false" customHeight="false" outlineLevel="0" collapsed="false">
      <c r="A28" s="18" t="s">
        <v>4850</v>
      </c>
      <c r="B28" s="18" t="s">
        <v>4851</v>
      </c>
      <c r="C28" s="18" t="s">
        <v>4852</v>
      </c>
      <c r="D28" s="18" t="s">
        <v>4853</v>
      </c>
      <c r="E28" s="18" t="s">
        <v>4854</v>
      </c>
      <c r="F28" s="18" t="s">
        <v>4855</v>
      </c>
      <c r="G28" s="18" t="s">
        <v>4719</v>
      </c>
      <c r="H28" s="18"/>
      <c r="I28" s="18"/>
    </row>
    <row r="29" customFormat="false" ht="15" hidden="false" customHeight="false" outlineLevel="0" collapsed="false">
      <c r="A29" s="17" t="s">
        <v>4856</v>
      </c>
      <c r="B29" s="17" t="s">
        <v>4857</v>
      </c>
      <c r="C29" s="17" t="s">
        <v>4858</v>
      </c>
      <c r="D29" s="17" t="s">
        <v>4859</v>
      </c>
      <c r="E29" s="17" t="s">
        <v>4860</v>
      </c>
      <c r="F29" s="17" t="s">
        <v>4861</v>
      </c>
      <c r="G29" s="17" t="s">
        <v>4719</v>
      </c>
      <c r="H29" s="17"/>
      <c r="I29" s="17"/>
    </row>
  </sheetData>
  <autoFilter ref="A4:I29"/>
  <mergeCells count="2">
    <mergeCell ref="A1:I1"/>
    <mergeCell ref="A2:I2"/>
  </mergeCells>
  <conditionalFormatting sqref="G5:G29">
    <cfRule type="expression" priority="2" aboveAverage="0" equalAverage="0" bottom="0" percent="0" rank="0" text="" dxfId="23">
      <formula>EXACT($G5,"OPEN — DECISION REQUIRED")</formula>
    </cfRule>
    <cfRule type="expression" priority="3" aboveAverage="0" equalAverage="0" bottom="0" percent="0" rank="0" text="" dxfId="20">
      <formula>EXACT($G5,"DECIDED")</formula>
    </cfRule>
    <cfRule type="expression" priority="4" aboveAverage="0" equalAverage="0" bottom="0" percent="0" rank="0" text="" dxfId="21">
      <formula>EXACT($G5,"DEFERRED")</formula>
    </cfRule>
  </conditionalFormatting>
  <dataValidations count="1">
    <dataValidation allowBlank="true" errorStyle="stop" operator="between" prompt="Pick one of: OPEN — DECISION REQUIRED, DECIDED, DEFERRED" promptTitle="Decision Status" showDropDown="false" showErrorMessage="false" showInputMessage="true" sqref="G5:G29" type="list">
      <formula1>"OPEN — DECISION REQUIRED,DECIDED,DEFERRED"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6"/>
    <col collapsed="false" customWidth="true" hidden="false" outlineLevel="0" max="4" min="4" style="0" width="38"/>
  </cols>
  <sheetData>
    <row r="1" customFormat="false" ht="21.75" hidden="false" customHeight="true" outlineLevel="0" collapsed="false">
      <c r="A1" s="19" t="s">
        <v>4862</v>
      </c>
      <c r="B1" s="19"/>
      <c r="C1" s="19"/>
      <c r="D1" s="19"/>
    </row>
    <row r="2" customFormat="false" ht="27.75" hidden="false" customHeight="true" outlineLevel="0" collapsed="false">
      <c r="A2" s="11" t="s">
        <v>4863</v>
      </c>
      <c r="B2" s="11"/>
      <c r="C2" s="11"/>
      <c r="D2" s="11"/>
    </row>
    <row r="4" customFormat="false" ht="33.75" hidden="false" customHeight="true" outlineLevel="0" collapsed="false">
      <c r="A4" s="16" t="s">
        <v>4864</v>
      </c>
      <c r="B4" s="16" t="s">
        <v>4865</v>
      </c>
      <c r="C4" s="16" t="s">
        <v>4866</v>
      </c>
      <c r="D4" s="16" t="s">
        <v>4867</v>
      </c>
    </row>
    <row r="5" customFormat="false" ht="15" hidden="false" customHeight="false" outlineLevel="0" collapsed="false">
      <c r="A5" s="17" t="s">
        <v>2100</v>
      </c>
      <c r="B5" s="17" t="s">
        <v>4868</v>
      </c>
      <c r="C5" s="17" t="s">
        <v>4869</v>
      </c>
      <c r="D5" s="17" t="s">
        <v>4870</v>
      </c>
    </row>
    <row r="6" customFormat="false" ht="15" hidden="false" customHeight="false" outlineLevel="0" collapsed="false">
      <c r="A6" s="18" t="s">
        <v>1981</v>
      </c>
      <c r="B6" s="18" t="s">
        <v>4871</v>
      </c>
      <c r="C6" s="18" t="s">
        <v>4872</v>
      </c>
      <c r="D6" s="18" t="s">
        <v>4873</v>
      </c>
    </row>
    <row r="7" customFormat="false" ht="15" hidden="false" customHeight="false" outlineLevel="0" collapsed="false">
      <c r="A7" s="17" t="s">
        <v>2098</v>
      </c>
      <c r="B7" s="17" t="s">
        <v>4874</v>
      </c>
      <c r="C7" s="17" t="s">
        <v>4875</v>
      </c>
      <c r="D7" s="17" t="s">
        <v>4876</v>
      </c>
    </row>
    <row r="8" customFormat="false" ht="15" hidden="false" customHeight="false" outlineLevel="0" collapsed="false">
      <c r="A8" s="18" t="s">
        <v>2099</v>
      </c>
      <c r="B8" s="18" t="s">
        <v>4877</v>
      </c>
      <c r="C8" s="18" t="s">
        <v>4878</v>
      </c>
      <c r="D8" s="18" t="s">
        <v>4879</v>
      </c>
    </row>
    <row r="9" customFormat="false" ht="15" hidden="false" customHeight="false" outlineLevel="0" collapsed="false">
      <c r="A9" s="17" t="s">
        <v>4880</v>
      </c>
      <c r="B9" s="17" t="s">
        <v>4881</v>
      </c>
      <c r="C9" s="17" t="s">
        <v>4882</v>
      </c>
      <c r="D9" s="17" t="s">
        <v>4883</v>
      </c>
    </row>
    <row r="10" customFormat="false" ht="15" hidden="false" customHeight="false" outlineLevel="0" collapsed="false">
      <c r="A10" s="18" t="s">
        <v>4884</v>
      </c>
      <c r="B10" s="18" t="s">
        <v>4885</v>
      </c>
      <c r="C10" s="18" t="s">
        <v>4886</v>
      </c>
      <c r="D10" s="18" t="s">
        <v>4887</v>
      </c>
    </row>
    <row r="11" customFormat="false" ht="15" hidden="false" customHeight="false" outlineLevel="0" collapsed="false">
      <c r="A11" s="17" t="s">
        <v>4888</v>
      </c>
      <c r="B11" s="17" t="s">
        <v>4889</v>
      </c>
      <c r="C11" s="17" t="s">
        <v>4890</v>
      </c>
      <c r="D11" s="17" t="s">
        <v>4891</v>
      </c>
    </row>
    <row r="12" customFormat="false" ht="15" hidden="false" customHeight="false" outlineLevel="0" collapsed="false">
      <c r="A12" s="18" t="s">
        <v>4892</v>
      </c>
      <c r="B12" s="18" t="s">
        <v>4893</v>
      </c>
      <c r="C12" s="18" t="s">
        <v>4894</v>
      </c>
      <c r="D12" s="18" t="s">
        <v>4895</v>
      </c>
    </row>
    <row r="13" customFormat="false" ht="15" hidden="false" customHeight="false" outlineLevel="0" collapsed="false">
      <c r="A13" s="17" t="s">
        <v>4896</v>
      </c>
      <c r="B13" s="17" t="s">
        <v>4897</v>
      </c>
      <c r="C13" s="17" t="s">
        <v>4898</v>
      </c>
      <c r="D13" s="17" t="s">
        <v>4899</v>
      </c>
    </row>
    <row r="14" customFormat="false" ht="15" hidden="false" customHeight="false" outlineLevel="0" collapsed="false">
      <c r="A14" s="18" t="s">
        <v>4900</v>
      </c>
      <c r="B14" s="18" t="s">
        <v>4901</v>
      </c>
      <c r="C14" s="18" t="s">
        <v>4902</v>
      </c>
      <c r="D14" s="18" t="s">
        <v>4903</v>
      </c>
    </row>
    <row r="15" customFormat="false" ht="15" hidden="false" customHeight="false" outlineLevel="0" collapsed="false">
      <c r="A15" s="17" t="s">
        <v>4904</v>
      </c>
      <c r="B15" s="17" t="s">
        <v>4905</v>
      </c>
      <c r="C15" s="17" t="s">
        <v>4906</v>
      </c>
      <c r="D15" s="17" t="s">
        <v>4907</v>
      </c>
    </row>
    <row r="16" customFormat="false" ht="15" hidden="false" customHeight="false" outlineLevel="0" collapsed="false">
      <c r="A16" s="18" t="s">
        <v>4908</v>
      </c>
      <c r="B16" s="18" t="s">
        <v>4909</v>
      </c>
      <c r="C16" s="18" t="s">
        <v>4910</v>
      </c>
      <c r="D16" s="18" t="s">
        <v>4907</v>
      </c>
    </row>
    <row r="17" customFormat="false" ht="15" hidden="false" customHeight="false" outlineLevel="0" collapsed="false">
      <c r="A17" s="17" t="s">
        <v>4911</v>
      </c>
      <c r="B17" s="17" t="s">
        <v>4912</v>
      </c>
      <c r="C17" s="17" t="s">
        <v>4913</v>
      </c>
      <c r="D17" s="17" t="s">
        <v>4914</v>
      </c>
    </row>
    <row r="18" customFormat="false" ht="15" hidden="false" customHeight="false" outlineLevel="0" collapsed="false">
      <c r="A18" s="18" t="s">
        <v>4915</v>
      </c>
      <c r="B18" s="18" t="s">
        <v>4916</v>
      </c>
      <c r="C18" s="18" t="s">
        <v>4917</v>
      </c>
      <c r="D18" s="18" t="s">
        <v>4918</v>
      </c>
    </row>
    <row r="19" customFormat="false" ht="15" hidden="false" customHeight="false" outlineLevel="0" collapsed="false">
      <c r="A19" s="17" t="s">
        <v>4919</v>
      </c>
      <c r="B19" s="17" t="s">
        <v>4920</v>
      </c>
      <c r="C19" s="17" t="s">
        <v>4921</v>
      </c>
      <c r="D19" s="17" t="s">
        <v>4922</v>
      </c>
    </row>
    <row r="20" customFormat="false" ht="15" hidden="false" customHeight="false" outlineLevel="0" collapsed="false">
      <c r="A20" s="18" t="s">
        <v>4923</v>
      </c>
      <c r="B20" s="18" t="s">
        <v>4924</v>
      </c>
      <c r="C20" s="18" t="s">
        <v>4925</v>
      </c>
      <c r="D20" s="18" t="s">
        <v>4926</v>
      </c>
    </row>
    <row r="21" customFormat="false" ht="15" hidden="false" customHeight="false" outlineLevel="0" collapsed="false">
      <c r="A21" s="17" t="s">
        <v>4927</v>
      </c>
      <c r="B21" s="17" t="s">
        <v>4928</v>
      </c>
      <c r="C21" s="17" t="s">
        <v>4929</v>
      </c>
      <c r="D21" s="17" t="s">
        <v>52</v>
      </c>
    </row>
    <row r="22" customFormat="false" ht="15" hidden="false" customHeight="false" outlineLevel="0" collapsed="false">
      <c r="A22" s="18" t="s">
        <v>4930</v>
      </c>
      <c r="B22" s="18" t="s">
        <v>4931</v>
      </c>
      <c r="C22" s="18" t="s">
        <v>4932</v>
      </c>
      <c r="D22" s="18" t="s">
        <v>4933</v>
      </c>
    </row>
    <row r="23" customFormat="false" ht="15" hidden="false" customHeight="false" outlineLevel="0" collapsed="false">
      <c r="A23" s="17" t="s">
        <v>4934</v>
      </c>
      <c r="B23" s="17" t="s">
        <v>4935</v>
      </c>
      <c r="C23" s="17" t="s">
        <v>4936</v>
      </c>
      <c r="D23" s="17" t="s">
        <v>4933</v>
      </c>
    </row>
    <row r="24" customFormat="false" ht="15" hidden="false" customHeight="false" outlineLevel="0" collapsed="false">
      <c r="A24" s="18" t="s">
        <v>3561</v>
      </c>
      <c r="B24" s="18" t="s">
        <v>4937</v>
      </c>
      <c r="C24" s="18" t="s">
        <v>4938</v>
      </c>
      <c r="D24" s="18" t="s">
        <v>4933</v>
      </c>
    </row>
    <row r="25" customFormat="false" ht="15" hidden="false" customHeight="false" outlineLevel="0" collapsed="false">
      <c r="A25" s="17" t="s">
        <v>4939</v>
      </c>
      <c r="B25" s="17" t="s">
        <v>4940</v>
      </c>
      <c r="C25" s="17" t="s">
        <v>4941</v>
      </c>
      <c r="D25" s="17" t="s">
        <v>4933</v>
      </c>
    </row>
    <row r="26" customFormat="false" ht="15" hidden="false" customHeight="false" outlineLevel="0" collapsed="false">
      <c r="A26" s="18" t="s">
        <v>3515</v>
      </c>
      <c r="B26" s="18" t="s">
        <v>4942</v>
      </c>
      <c r="C26" s="18" t="s">
        <v>4943</v>
      </c>
      <c r="D26" s="18" t="s">
        <v>4944</v>
      </c>
    </row>
    <row r="27" customFormat="false" ht="15" hidden="false" customHeight="false" outlineLevel="0" collapsed="false">
      <c r="A27" s="17" t="s">
        <v>4945</v>
      </c>
      <c r="B27" s="17" t="s">
        <v>4946</v>
      </c>
      <c r="C27" s="17" t="s">
        <v>4947</v>
      </c>
      <c r="D27" s="17" t="s">
        <v>4948</v>
      </c>
    </row>
    <row r="28" customFormat="false" ht="15" hidden="false" customHeight="false" outlineLevel="0" collapsed="false">
      <c r="A28" s="18" t="s">
        <v>4949</v>
      </c>
      <c r="B28" s="18" t="s">
        <v>4950</v>
      </c>
      <c r="C28" s="18" t="s">
        <v>4951</v>
      </c>
      <c r="D28" s="18" t="s">
        <v>4948</v>
      </c>
    </row>
    <row r="29" customFormat="false" ht="15" hidden="false" customHeight="false" outlineLevel="0" collapsed="false">
      <c r="A29" s="17" t="s">
        <v>4952</v>
      </c>
      <c r="B29" s="17" t="s">
        <v>4953</v>
      </c>
      <c r="C29" s="17" t="s">
        <v>4954</v>
      </c>
      <c r="D29" s="17" t="s">
        <v>4948</v>
      </c>
    </row>
    <row r="30" customFormat="false" ht="15" hidden="false" customHeight="false" outlineLevel="0" collapsed="false">
      <c r="A30" s="18" t="s">
        <v>4955</v>
      </c>
      <c r="B30" s="18" t="s">
        <v>4956</v>
      </c>
      <c r="C30" s="18" t="s">
        <v>4957</v>
      </c>
      <c r="D30" s="18" t="s">
        <v>4948</v>
      </c>
    </row>
    <row r="31" customFormat="false" ht="15" hidden="false" customHeight="false" outlineLevel="0" collapsed="false">
      <c r="A31" s="17" t="s">
        <v>4081</v>
      </c>
      <c r="B31" s="17" t="s">
        <v>4958</v>
      </c>
      <c r="C31" s="17" t="s">
        <v>4959</v>
      </c>
      <c r="D31" s="17" t="s">
        <v>4960</v>
      </c>
    </row>
    <row r="32" customFormat="false" ht="15" hidden="false" customHeight="false" outlineLevel="0" collapsed="false">
      <c r="A32" s="18" t="s">
        <v>4961</v>
      </c>
      <c r="B32" s="18" t="s">
        <v>4962</v>
      </c>
      <c r="C32" s="18" t="s">
        <v>4963</v>
      </c>
      <c r="D32" s="18" t="s">
        <v>4964</v>
      </c>
    </row>
    <row r="33" customFormat="false" ht="15" hidden="false" customHeight="false" outlineLevel="0" collapsed="false">
      <c r="A33" s="17" t="s">
        <v>4965</v>
      </c>
      <c r="B33" s="17" t="s">
        <v>4966</v>
      </c>
      <c r="C33" s="17" t="s">
        <v>4967</v>
      </c>
      <c r="D33" s="17" t="s">
        <v>4968</v>
      </c>
    </row>
    <row r="34" customFormat="false" ht="15" hidden="false" customHeight="false" outlineLevel="0" collapsed="false">
      <c r="A34" s="18" t="s">
        <v>4969</v>
      </c>
      <c r="B34" s="18" t="s">
        <v>4970</v>
      </c>
      <c r="C34" s="18" t="s">
        <v>4971</v>
      </c>
      <c r="D34" s="18" t="s">
        <v>4972</v>
      </c>
    </row>
    <row r="35" customFormat="false" ht="15" hidden="false" customHeight="false" outlineLevel="0" collapsed="false">
      <c r="A35" s="17" t="s">
        <v>4973</v>
      </c>
      <c r="B35" s="17" t="s">
        <v>4974</v>
      </c>
      <c r="C35" s="17" t="s">
        <v>4975</v>
      </c>
      <c r="D35" s="17" t="s">
        <v>4976</v>
      </c>
    </row>
    <row r="36" customFormat="false" ht="15" hidden="false" customHeight="false" outlineLevel="0" collapsed="false">
      <c r="A36" s="18" t="s">
        <v>4977</v>
      </c>
      <c r="B36" s="18" t="s">
        <v>4978</v>
      </c>
      <c r="C36" s="18" t="s">
        <v>4979</v>
      </c>
      <c r="D36" s="18" t="s">
        <v>4980</v>
      </c>
    </row>
    <row r="37" customFormat="false" ht="15" hidden="false" customHeight="false" outlineLevel="0" collapsed="false">
      <c r="A37" s="17" t="s">
        <v>4981</v>
      </c>
      <c r="B37" s="17" t="s">
        <v>4982</v>
      </c>
      <c r="C37" s="17" t="s">
        <v>4983</v>
      </c>
      <c r="D37" s="17" t="s">
        <v>4984</v>
      </c>
    </row>
    <row r="38" customFormat="false" ht="15" hidden="false" customHeight="false" outlineLevel="0" collapsed="false">
      <c r="A38" s="18" t="s">
        <v>4985</v>
      </c>
      <c r="B38" s="18" t="s">
        <v>4986</v>
      </c>
      <c r="C38" s="18" t="s">
        <v>4987</v>
      </c>
      <c r="D38" s="18" t="s">
        <v>4988</v>
      </c>
    </row>
    <row r="39" customFormat="false" ht="15" hidden="false" customHeight="false" outlineLevel="0" collapsed="false">
      <c r="A39" s="17" t="s">
        <v>2196</v>
      </c>
      <c r="B39" s="17" t="s">
        <v>4989</v>
      </c>
      <c r="C39" s="17" t="s">
        <v>4990</v>
      </c>
      <c r="D39" s="17" t="s">
        <v>4991</v>
      </c>
    </row>
    <row r="40" customFormat="false" ht="15" hidden="false" customHeight="false" outlineLevel="0" collapsed="false">
      <c r="A40" s="18" t="s">
        <v>4992</v>
      </c>
      <c r="B40" s="18" t="s">
        <v>4993</v>
      </c>
      <c r="C40" s="18" t="s">
        <v>4994</v>
      </c>
      <c r="D40" s="18" t="s">
        <v>4995</v>
      </c>
    </row>
    <row r="41" customFormat="false" ht="15" hidden="false" customHeight="false" outlineLevel="0" collapsed="false">
      <c r="A41" s="17" t="s">
        <v>4996</v>
      </c>
      <c r="B41" s="17" t="s">
        <v>4997</v>
      </c>
      <c r="C41" s="17" t="s">
        <v>4998</v>
      </c>
      <c r="D41" s="17" t="s">
        <v>4972</v>
      </c>
    </row>
    <row r="42" customFormat="false" ht="15" hidden="false" customHeight="false" outlineLevel="0" collapsed="false">
      <c r="A42" s="18" t="s">
        <v>4999</v>
      </c>
      <c r="B42" s="18" t="s">
        <v>5000</v>
      </c>
      <c r="C42" s="18" t="s">
        <v>5001</v>
      </c>
      <c r="D42" s="18" t="s">
        <v>5002</v>
      </c>
    </row>
    <row r="43" customFormat="false" ht="15" hidden="false" customHeight="false" outlineLevel="0" collapsed="false">
      <c r="A43" s="17" t="s">
        <v>5003</v>
      </c>
      <c r="B43" s="17" t="s">
        <v>5004</v>
      </c>
      <c r="C43" s="17" t="s">
        <v>5005</v>
      </c>
      <c r="D43" s="17" t="s">
        <v>5006</v>
      </c>
    </row>
    <row r="44" customFormat="false" ht="15" hidden="false" customHeight="false" outlineLevel="0" collapsed="false">
      <c r="A44" s="18" t="s">
        <v>2111</v>
      </c>
      <c r="B44" s="18" t="s">
        <v>5007</v>
      </c>
      <c r="C44" s="18" t="s">
        <v>5008</v>
      </c>
      <c r="D44" s="18" t="s">
        <v>5009</v>
      </c>
    </row>
    <row r="45" customFormat="false" ht="15" hidden="false" customHeight="false" outlineLevel="0" collapsed="false">
      <c r="A45" s="17" t="s">
        <v>5010</v>
      </c>
      <c r="B45" s="17" t="s">
        <v>5011</v>
      </c>
      <c r="C45" s="17" t="s">
        <v>5012</v>
      </c>
      <c r="D45" s="17" t="s">
        <v>4903</v>
      </c>
    </row>
    <row r="46" customFormat="false" ht="15" hidden="false" customHeight="false" outlineLevel="0" collapsed="false">
      <c r="A46" s="18" t="s">
        <v>5013</v>
      </c>
      <c r="B46" s="18" t="s">
        <v>5014</v>
      </c>
      <c r="C46" s="18" t="s">
        <v>5015</v>
      </c>
      <c r="D46" s="18" t="s">
        <v>5016</v>
      </c>
    </row>
    <row r="47" customFormat="false" ht="15" hidden="false" customHeight="false" outlineLevel="0" collapsed="false">
      <c r="A47" s="17" t="s">
        <v>5017</v>
      </c>
      <c r="B47" s="17" t="s">
        <v>5018</v>
      </c>
      <c r="C47" s="17" t="s">
        <v>5019</v>
      </c>
      <c r="D47" s="17" t="s">
        <v>5020</v>
      </c>
    </row>
    <row r="48" customFormat="false" ht="15" hidden="false" customHeight="false" outlineLevel="0" collapsed="false">
      <c r="A48" s="18" t="s">
        <v>5021</v>
      </c>
      <c r="B48" s="18" t="s">
        <v>5022</v>
      </c>
      <c r="C48" s="18" t="s">
        <v>5023</v>
      </c>
      <c r="D48" s="18" t="s">
        <v>5024</v>
      </c>
    </row>
    <row r="49" customFormat="false" ht="15" hidden="false" customHeight="false" outlineLevel="0" collapsed="false">
      <c r="A49" s="17" t="s">
        <v>1448</v>
      </c>
      <c r="B49" s="17" t="s">
        <v>5025</v>
      </c>
      <c r="C49" s="17" t="s">
        <v>5026</v>
      </c>
      <c r="D49" s="17" t="s">
        <v>5027</v>
      </c>
    </row>
    <row r="50" customFormat="false" ht="15" hidden="false" customHeight="false" outlineLevel="0" collapsed="false">
      <c r="A50" s="18" t="s">
        <v>5028</v>
      </c>
      <c r="B50" s="18" t="s">
        <v>5029</v>
      </c>
      <c r="C50" s="18" t="s">
        <v>5030</v>
      </c>
      <c r="D50" s="18" t="s">
        <v>5031</v>
      </c>
    </row>
    <row r="51" customFormat="false" ht="15" hidden="false" customHeight="false" outlineLevel="0" collapsed="false">
      <c r="A51" s="17" t="s">
        <v>5032</v>
      </c>
      <c r="B51" s="17" t="s">
        <v>5033</v>
      </c>
      <c r="C51" s="17" t="s">
        <v>5034</v>
      </c>
      <c r="D51" s="17" t="s">
        <v>5035</v>
      </c>
    </row>
    <row r="52" customFormat="false" ht="15" hidden="false" customHeight="false" outlineLevel="0" collapsed="false">
      <c r="A52" s="18" t="s">
        <v>1127</v>
      </c>
      <c r="B52" s="18" t="s">
        <v>5036</v>
      </c>
      <c r="C52" s="18" t="s">
        <v>5037</v>
      </c>
      <c r="D52" s="18" t="s">
        <v>5038</v>
      </c>
    </row>
    <row r="53" customFormat="false" ht="15" hidden="false" customHeight="false" outlineLevel="0" collapsed="false">
      <c r="A53" s="17" t="s">
        <v>5039</v>
      </c>
      <c r="B53" s="17" t="s">
        <v>5040</v>
      </c>
      <c r="C53" s="17" t="s">
        <v>5041</v>
      </c>
      <c r="D53" s="17" t="s">
        <v>5042</v>
      </c>
    </row>
    <row r="54" customFormat="false" ht="15" hidden="false" customHeight="false" outlineLevel="0" collapsed="false">
      <c r="A54" s="18" t="s">
        <v>5043</v>
      </c>
      <c r="B54" s="18" t="s">
        <v>5044</v>
      </c>
      <c r="C54" s="18" t="s">
        <v>5045</v>
      </c>
      <c r="D54" s="18" t="s">
        <v>5046</v>
      </c>
    </row>
    <row r="55" customFormat="false" ht="15" hidden="false" customHeight="false" outlineLevel="0" collapsed="false">
      <c r="A55" s="17" t="s">
        <v>5047</v>
      </c>
      <c r="B55" s="17" t="s">
        <v>5048</v>
      </c>
      <c r="C55" s="17" t="s">
        <v>5049</v>
      </c>
      <c r="D55" s="17" t="s">
        <v>5050</v>
      </c>
    </row>
    <row r="56" customFormat="false" ht="15" hidden="false" customHeight="false" outlineLevel="0" collapsed="false">
      <c r="A56" s="18" t="s">
        <v>5051</v>
      </c>
      <c r="B56" s="18" t="s">
        <v>5052</v>
      </c>
      <c r="C56" s="18" t="s">
        <v>5053</v>
      </c>
      <c r="D56" s="18" t="s">
        <v>42</v>
      </c>
    </row>
    <row r="57" customFormat="false" ht="15" hidden="false" customHeight="false" outlineLevel="0" collapsed="false">
      <c r="A57" s="17" t="s">
        <v>5054</v>
      </c>
      <c r="B57" s="17" t="s">
        <v>5055</v>
      </c>
      <c r="C57" s="17" t="s">
        <v>5056</v>
      </c>
      <c r="D57" s="17" t="s">
        <v>5057</v>
      </c>
    </row>
  </sheetData>
  <autoFilter ref="A4:D57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2026-09-20T12:15:55Z</dcterms:created>
  <dc:creator>openpyxl</dc:creator>
  <dc:description/>
  <dc:language>en-US</dc:language>
  <cp:lastModifiedBy/>
  <dcterms:modified xsi:type="dcterms:W3CDTF">2026-09-20T12:15:56Z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